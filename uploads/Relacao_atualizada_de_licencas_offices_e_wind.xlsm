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io-PC\Desktop\"/>
    </mc:Choice>
  </mc:AlternateContent>
  <xr:revisionPtr revIDLastSave="0" documentId="13_ncr:1_{246BC824-F8AC-4FEC-A144-E3245F5E03EF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Planilha1" sheetId="1" r:id="rId1"/>
  </sheets>
  <definedNames>
    <definedName name="_xlnm._FilterDatabase" localSheetId="0" hidden="1">Planilha1!$B$1:$B$61</definedName>
    <definedName name="colorido">GET.CELL(38,Planilha1!XFD1)</definedName>
    <definedName name="corama">GET.CELL(38,Planilha1!XFC1)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/>
  <c r="I2" i="1"/>
  <c r="H3" i="1"/>
  <c r="H50" i="1"/>
  <c r="H30" i="1"/>
  <c r="H22" i="1"/>
  <c r="E51" i="1"/>
  <c r="E40" i="1"/>
  <c r="E45" i="1"/>
  <c r="C35" i="1"/>
  <c r="C40" i="1"/>
  <c r="H7" i="1"/>
  <c r="H46" i="1"/>
  <c r="E52" i="1"/>
  <c r="E49" i="1"/>
  <c r="C7" i="1"/>
  <c r="C45" i="1"/>
  <c r="H10" i="1"/>
  <c r="E32" i="1"/>
  <c r="C32" i="1"/>
  <c r="H6" i="1"/>
  <c r="E36" i="1"/>
  <c r="C36" i="1"/>
  <c r="Q9" i="1" a="1"/>
  <c r="H19" i="1"/>
  <c r="H16" i="1"/>
  <c r="H13" i="1"/>
  <c r="E3" i="1"/>
  <c r="E34" i="1"/>
  <c r="E30" i="1"/>
  <c r="E18" i="1"/>
  <c r="C51" i="1"/>
  <c r="C6" i="1"/>
  <c r="C18" i="1"/>
  <c r="H23" i="1"/>
  <c r="H20" i="1"/>
  <c r="H17" i="1"/>
  <c r="E8" i="1"/>
  <c r="E42" i="1"/>
  <c r="E46" i="1"/>
  <c r="E26" i="1"/>
  <c r="C46" i="1"/>
  <c r="C10" i="1"/>
  <c r="C22" i="1"/>
  <c r="E2" i="1"/>
  <c r="C11" i="1"/>
  <c r="H11" i="1"/>
  <c r="H8" i="1"/>
  <c r="H5" i="1"/>
  <c r="H42" i="1"/>
  <c r="E11" i="1"/>
  <c r="E48" i="1"/>
  <c r="E53" i="1"/>
  <c r="C43" i="1"/>
  <c r="H15" i="1"/>
  <c r="H12" i="1"/>
  <c r="H9" i="1"/>
  <c r="H54" i="1"/>
  <c r="E22" i="1"/>
  <c r="E15" i="1"/>
  <c r="E7" i="1"/>
  <c r="C47" i="1"/>
  <c r="C52" i="1"/>
  <c r="C15" i="1"/>
  <c r="C2" i="1"/>
  <c r="C48" i="1"/>
  <c r="C26" i="1"/>
  <c r="H14" i="1"/>
  <c r="H52" i="1"/>
  <c r="H49" i="1"/>
  <c r="E39" i="1"/>
  <c r="E28" i="1"/>
  <c r="E33" i="1"/>
  <c r="C23" i="1"/>
  <c r="C28" i="1"/>
  <c r="C41" i="1"/>
  <c r="Q14" i="1" a="1"/>
  <c r="H35" i="1"/>
  <c r="H32" i="1"/>
  <c r="H29" i="1"/>
  <c r="E19" i="1"/>
  <c r="E9" i="1"/>
  <c r="E14" i="1"/>
  <c r="C3" i="1"/>
  <c r="C9" i="1"/>
  <c r="C21" i="1"/>
  <c r="C34" i="1"/>
  <c r="H39" i="1"/>
  <c r="H36" i="1"/>
  <c r="H33" i="1"/>
  <c r="E23" i="1"/>
  <c r="E13" i="1"/>
  <c r="E17" i="1"/>
  <c r="C8" i="1"/>
  <c r="C13" i="1"/>
  <c r="C25" i="1"/>
  <c r="C38" i="1"/>
  <c r="C14" i="1"/>
  <c r="C42" i="1"/>
  <c r="H27" i="1"/>
  <c r="H24" i="1"/>
  <c r="H21" i="1"/>
  <c r="E12" i="1"/>
  <c r="E54" i="1"/>
  <c r="E6" i="1"/>
  <c r="E38" i="1"/>
  <c r="C54" i="1"/>
  <c r="H31" i="1"/>
  <c r="H28" i="1"/>
  <c r="H25" i="1"/>
  <c r="E16" i="1"/>
  <c r="E5" i="1"/>
  <c r="E10" i="1"/>
  <c r="E50" i="1"/>
  <c r="C5" i="1"/>
  <c r="C17" i="1"/>
  <c r="C30" i="1"/>
  <c r="Q13" i="1" a="1"/>
  <c r="Q8" i="1" a="1"/>
  <c r="H40" i="1"/>
  <c r="E27" i="1"/>
  <c r="E4" i="1"/>
  <c r="C12" i="1"/>
  <c r="C4" i="1"/>
  <c r="H44" i="1"/>
  <c r="E31" i="1"/>
  <c r="E25" i="1"/>
  <c r="C16" i="1"/>
  <c r="C33" i="1"/>
  <c r="Q11" i="1" a="1"/>
  <c r="C53" i="1"/>
  <c r="H34" i="1"/>
  <c r="E44" i="1"/>
  <c r="C39" i="1"/>
  <c r="Q6" i="1" a="1"/>
  <c r="H26" i="1"/>
  <c r="H53" i="1"/>
  <c r="E37" i="1"/>
  <c r="H38" i="1"/>
  <c r="E47" i="1"/>
  <c r="C31" i="1"/>
  <c r="C49" i="1"/>
  <c r="H51" i="1"/>
  <c r="H48" i="1"/>
  <c r="H45" i="1"/>
  <c r="E35" i="1"/>
  <c r="E24" i="1"/>
  <c r="E29" i="1"/>
  <c r="C19" i="1"/>
  <c r="C24" i="1"/>
  <c r="C37" i="1"/>
  <c r="Q7" i="1" a="1"/>
  <c r="C29" i="1"/>
  <c r="H43" i="1"/>
  <c r="H37" i="1"/>
  <c r="E21" i="1"/>
  <c r="H47" i="1"/>
  <c r="H41" i="1"/>
  <c r="E20" i="1"/>
  <c r="C20" i="1"/>
  <c r="C50" i="1"/>
  <c r="Q12" i="1" a="1"/>
  <c r="H4" i="1"/>
  <c r="C44" i="1"/>
  <c r="Q1" i="1"/>
  <c r="E43" i="1"/>
  <c r="C27" i="1"/>
  <c r="H18" i="1"/>
  <c r="E41" i="1"/>
  <c r="H2" i="1"/>
  <c r="Q12" i="1" l="1"/>
  <c r="Q7" i="1"/>
  <c r="Q6" i="1"/>
  <c r="Q11" i="1"/>
  <c r="Q8" i="1"/>
  <c r="Q13" i="1"/>
  <c r="M2" i="1" s="1"/>
  <c r="J2" i="1"/>
  <c r="Q14" i="1"/>
  <c r="Q9" i="1"/>
  <c r="L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<sst xmlns="http://schemas.openxmlformats.org/spreadsheetml/2006/main" count="274" uniqueCount="160">
  <si>
    <t>VERSAO WINDOWS</t>
  </si>
  <si>
    <t>VERSAO OFFICE</t>
  </si>
  <si>
    <t>QUANT. WINDOWS</t>
  </si>
  <si>
    <t>QUANT. OFFICE</t>
  </si>
  <si>
    <t>RAU</t>
  </si>
  <si>
    <t>WINDOWS 10 PRO N</t>
  </si>
  <si>
    <t>2013 STANDARD</t>
  </si>
  <si>
    <t>WINDOWS 8.1</t>
  </si>
  <si>
    <t>2007 STANDARD</t>
  </si>
  <si>
    <t>WINDOWS 10 PRO</t>
  </si>
  <si>
    <t>WILLIAN ALVES</t>
  </si>
  <si>
    <t xml:space="preserve">WINDOWS </t>
  </si>
  <si>
    <t>192.168.0.7</t>
  </si>
  <si>
    <t>vw-Bernardo</t>
  </si>
  <si>
    <t>conferencia02</t>
  </si>
  <si>
    <t>HOME AND BUSINESS 2019</t>
  </si>
  <si>
    <t>Microsoft 365</t>
  </si>
  <si>
    <t>CONTAS OFFICE 365</t>
  </si>
  <si>
    <t>E-MAILS</t>
  </si>
  <si>
    <t>SENHAS</t>
  </si>
  <si>
    <t>ericamartins@VITALMEDBR.onmicrosoft.com</t>
  </si>
  <si>
    <t>krd@krd2022</t>
  </si>
  <si>
    <t xml:space="preserve">Tap60605 </t>
  </si>
  <si>
    <t>Fax45610</t>
  </si>
  <si>
    <t xml:space="preserve">USUÁRIOS </t>
  </si>
  <si>
    <t>─</t>
  </si>
  <si>
    <t>RecpcaoW</t>
  </si>
  <si>
    <t>francinetavares@VITALMEDBR.onmicrosoft.com</t>
  </si>
  <si>
    <t>thaphynnycarvalho@VITALMEDBR.onmicrosoft.com</t>
  </si>
  <si>
    <t>tathyaner@VITALMEDBR.onmicrosoft.com</t>
  </si>
  <si>
    <t>krd@krd2024</t>
  </si>
  <si>
    <t>krd@2022</t>
  </si>
  <si>
    <t>soyane@VITALMEDBR.onmicrosoft.com</t>
  </si>
  <si>
    <t>felipen@VITALMEDBR.onmicrosoft.com</t>
  </si>
  <si>
    <t>jackelines@VITALMEDBR.onmicrosoft.com</t>
  </si>
  <si>
    <t>wesleyd@VITALMEDBR.onmicrosoft.com</t>
  </si>
  <si>
    <t>NOME PC</t>
  </si>
  <si>
    <t xml:space="preserve">ADRIANA </t>
  </si>
  <si>
    <t>VW003</t>
  </si>
  <si>
    <t>VW022</t>
  </si>
  <si>
    <t>VW006</t>
  </si>
  <si>
    <t>VW004</t>
  </si>
  <si>
    <t>VW037</t>
  </si>
  <si>
    <t>VW030</t>
  </si>
  <si>
    <t>KRD03</t>
  </si>
  <si>
    <t>VW043</t>
  </si>
  <si>
    <t>VW027</t>
  </si>
  <si>
    <t>VW013</t>
  </si>
  <si>
    <t>KRD01</t>
  </si>
  <si>
    <t>AMANDA</t>
  </si>
  <si>
    <t xml:space="preserve">ANA </t>
  </si>
  <si>
    <t>−</t>
  </si>
  <si>
    <t>VW</t>
  </si>
  <si>
    <t>VW010</t>
  </si>
  <si>
    <t>VWBernardo</t>
  </si>
  <si>
    <t>VW021</t>
  </si>
  <si>
    <t>KRD02</t>
  </si>
  <si>
    <t>VW029</t>
  </si>
  <si>
    <t>VW031</t>
  </si>
  <si>
    <t>VW012</t>
  </si>
  <si>
    <t>VW011</t>
  </si>
  <si>
    <t>VW033</t>
  </si>
  <si>
    <t>VW016</t>
  </si>
  <si>
    <t>VW005</t>
  </si>
  <si>
    <t>VW017</t>
  </si>
  <si>
    <t xml:space="preserve">WILLIAM FUTZUK </t>
  </si>
  <si>
    <t xml:space="preserve">Wesley </t>
  </si>
  <si>
    <t xml:space="preserve">vanessa </t>
  </si>
  <si>
    <t xml:space="preserve">Thaphunny </t>
  </si>
  <si>
    <t xml:space="preserve">Tathyane </t>
  </si>
  <si>
    <t xml:space="preserve">RenataW </t>
  </si>
  <si>
    <t>Pollyana</t>
  </si>
  <si>
    <t xml:space="preserve">PATY </t>
  </si>
  <si>
    <t xml:space="preserve">Luis  Renan </t>
  </si>
  <si>
    <t xml:space="preserve">LUANA </t>
  </si>
  <si>
    <t xml:space="preserve">KARINA </t>
  </si>
  <si>
    <t xml:space="preserve">JU RIBEIRO </t>
  </si>
  <si>
    <t xml:space="preserve">JOSELITO </t>
  </si>
  <si>
    <t xml:space="preserve">Joelma </t>
  </si>
  <si>
    <t xml:space="preserve">JACKSON </t>
  </si>
  <si>
    <t xml:space="preserve">Graziele </t>
  </si>
  <si>
    <t xml:space="preserve">GISLAINE </t>
  </si>
  <si>
    <t xml:space="preserve">GIBA </t>
  </si>
  <si>
    <t xml:space="preserve">GEANE </t>
  </si>
  <si>
    <t xml:space="preserve">FELLIPE NEVES </t>
  </si>
  <si>
    <t xml:space="preserve">Erica </t>
  </si>
  <si>
    <t xml:space="preserve">Eliudes </t>
  </si>
  <si>
    <t xml:space="preserve">Eliane </t>
  </si>
  <si>
    <t xml:space="preserve">Ednei kussen </t>
  </si>
  <si>
    <t xml:space="preserve">DYERLE </t>
  </si>
  <si>
    <t xml:space="preserve">Daniela </t>
  </si>
  <si>
    <t xml:space="preserve">BIANCA </t>
  </si>
  <si>
    <t xml:space="preserve">Andre </t>
  </si>
  <si>
    <t>Gabrielle</t>
  </si>
  <si>
    <t>VW015</t>
  </si>
  <si>
    <t xml:space="preserve">WINDOWS 10 PRO </t>
  </si>
  <si>
    <t>2016 STANDARD</t>
  </si>
  <si>
    <t>VW002</t>
  </si>
  <si>
    <t>VW008</t>
  </si>
  <si>
    <t>VW020</t>
  </si>
  <si>
    <t>VW014</t>
  </si>
  <si>
    <t>VW025</t>
  </si>
  <si>
    <t>VW023</t>
  </si>
  <si>
    <t>VW001</t>
  </si>
  <si>
    <t>VW028</t>
  </si>
  <si>
    <t>VW024</t>
  </si>
  <si>
    <t>VW050</t>
  </si>
  <si>
    <t>VW018</t>
  </si>
  <si>
    <t>VW009</t>
  </si>
  <si>
    <t>VW019</t>
  </si>
  <si>
    <t>VW032</t>
  </si>
  <si>
    <t xml:space="preserve"> WINDOWS EM OPERAÇÃO</t>
  </si>
  <si>
    <t xml:space="preserve"> WINDOWS DISPONÍVEIS</t>
  </si>
  <si>
    <t>OFFICE EM OPERAÇÃO</t>
  </si>
  <si>
    <t>OFFICE DISPONÍVEIS</t>
  </si>
  <si>
    <t>gloriam@VITALMEDBR.onmicrosoft.com</t>
  </si>
  <si>
    <t>KRD04</t>
  </si>
  <si>
    <t xml:space="preserve">WINDOWS 11 PRO </t>
  </si>
  <si>
    <t>Glória</t>
  </si>
  <si>
    <t>VW007</t>
  </si>
  <si>
    <t>Bruna Tatiane</t>
  </si>
  <si>
    <t>KRD05</t>
  </si>
  <si>
    <t>WINDOWS 11 PRO</t>
  </si>
  <si>
    <t>conferencia</t>
  </si>
  <si>
    <t>Carlos Junior</t>
  </si>
  <si>
    <t>Naiane</t>
  </si>
  <si>
    <t>carlosr@VITALMEDBR.onmicrosoft.com</t>
  </si>
  <si>
    <t>naiane@VITALMEDBR.onmicrosoft.com</t>
  </si>
  <si>
    <t>VInícius Richter Alves</t>
  </si>
  <si>
    <t>KRD06</t>
  </si>
  <si>
    <t>viniciusr@VITALMEDBR.onmicrosoft.com</t>
  </si>
  <si>
    <t>VW034</t>
  </si>
  <si>
    <t>VW035</t>
  </si>
  <si>
    <t>VW036</t>
  </si>
  <si>
    <t>EvelynS@VITALMEDBR.onmicrosoft.com</t>
  </si>
  <si>
    <t>KathleenD@VITALMEDBR.onmicrosoft.com</t>
  </si>
  <si>
    <t>SolangeF@VITALMEDBR.onmicrosoft.com</t>
  </si>
  <si>
    <t>Krd@krd2022</t>
  </si>
  <si>
    <t>Solange</t>
  </si>
  <si>
    <t>KRD07</t>
  </si>
  <si>
    <t>Silmara</t>
  </si>
  <si>
    <t>SilmaraA@VITALMEDBR.onmicrosoft.com</t>
  </si>
  <si>
    <t xml:space="preserve">Cristiane Aparecida Ghilardi </t>
  </si>
  <si>
    <t>KRD08</t>
  </si>
  <si>
    <t>CristianeAparecida@VITALMEDBR.onmicrosoft.com</t>
  </si>
  <si>
    <t>Stefany</t>
  </si>
  <si>
    <t>Guilherme</t>
  </si>
  <si>
    <t>Carolina</t>
  </si>
  <si>
    <t xml:space="preserve">Adriana Tristão </t>
  </si>
  <si>
    <t>Alexandra</t>
  </si>
  <si>
    <t>eberson@VITALMEDBR.onmicrosoft.com</t>
  </si>
  <si>
    <t>eberson</t>
  </si>
  <si>
    <t>BIANCA WINTER</t>
  </si>
  <si>
    <t>biancaW@VITALMEDBR.onmicrosoft.com</t>
  </si>
  <si>
    <t>Jenifer Caroline De Souza Marques</t>
  </si>
  <si>
    <t xml:space="preserve">  jeniferC@VITALMEDBR.onmicrosoft.com
</t>
  </si>
  <si>
    <t>Windows 11 PRO</t>
  </si>
  <si>
    <t>VW-200</t>
  </si>
  <si>
    <t>VWN-01</t>
  </si>
  <si>
    <t>CarolinaH@VITALMEDBR.onmicrosoft.com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</si>
</sst>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sz val="8"/>
      <name val="Calibri"/>
      <family val="2"/>
      <scheme val="minor"/>
    </font>
    <font>
      <b/>
      <sz val="16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9751C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9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9" borderId="0" xfId="0" applyFont="1" applyFill="1"/>
    <xf numFmtId="0" fontId="6" fillId="9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6" fillId="3" borderId="1" xfId="0" quotePrefix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center"/>
    </xf>
    <xf numFmtId="0" fontId="1" fillId="12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13" borderId="0" xfId="0" applyFont="1" applyFill="1"/>
    <xf numFmtId="0" fontId="1" fillId="11" borderId="0" xfId="0" applyFont="1" applyFill="1"/>
    <xf numFmtId="0" fontId="1" fillId="10" borderId="0" xfId="0" applyFont="1" applyFill="1"/>
    <xf numFmtId="0" fontId="1" fillId="4" borderId="0" xfId="0" applyFont="1" applyFill="1"/>
    <xf numFmtId="0" fontId="6" fillId="7" borderId="4" xfId="2" applyFont="1" applyBorder="1" applyAlignment="1">
      <alignment horizontal="center" vertical="center"/>
    </xf>
    <xf numFmtId="0" fontId="6" fillId="7" borderId="11" xfId="2" applyFont="1" applyBorder="1" applyAlignment="1">
      <alignment horizontal="center" vertical="center"/>
    </xf>
    <xf numFmtId="0" fontId="6" fillId="7" borderId="6" xfId="2" applyFont="1" applyBorder="1" applyAlignment="1">
      <alignment horizontal="center" vertical="center"/>
    </xf>
    <xf numFmtId="0" fontId="6" fillId="7" borderId="8" xfId="2" applyFont="1" applyBorder="1" applyAlignment="1">
      <alignment horizontal="center" vertical="center"/>
    </xf>
    <xf numFmtId="0" fontId="6" fillId="7" borderId="12" xfId="2" applyFont="1" applyBorder="1" applyAlignment="1">
      <alignment horizontal="center" vertical="center"/>
    </xf>
    <xf numFmtId="0" fontId="6" fillId="7" borderId="9" xfId="2" applyFont="1" applyBorder="1" applyAlignment="1">
      <alignment horizontal="center" vertical="center"/>
    </xf>
    <xf numFmtId="0" fontId="1" fillId="5" borderId="0" xfId="0" applyFont="1" applyFill="1"/>
    <xf numFmtId="0" fontId="6" fillId="7" borderId="4" xfId="2" applyFont="1" applyBorder="1" applyAlignment="1">
      <alignment horizontal="center" vertical="center"/>
    </xf>
    <xf numFmtId="0" fontId="6" fillId="7" borderId="6" xfId="2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3" fillId="0" borderId="0" xfId="3"/>
    <xf numFmtId="0" fontId="1" fillId="0" borderId="0" xfId="0" applyFont="1" applyAlignment="1">
      <alignment wrapText="1"/>
    </xf>
    <xf numFmtId="0" fontId="6" fillId="7" borderId="4" xfId="3" applyNumberFormat="1" applyFont="1" applyFill="1" applyBorder="1" applyAlignment="1">
      <alignment horizontal="center" vertical="center"/>
    </xf>
    <xf numFmtId="0" fontId="6" fillId="7" borderId="11" xfId="3" applyNumberFormat="1" applyFont="1" applyFill="1" applyBorder="1" applyAlignment="1">
      <alignment horizontal="center" vertical="center"/>
    </xf>
    <xf numFmtId="0" fontId="6" fillId="7" borderId="6" xfId="2" applyNumberFormat="1" applyFont="1" applyBorder="1" applyAlignment="1">
      <alignment horizontal="center" vertical="center"/>
    </xf>
    <xf numFmtId="0" fontId="6" fillId="7" borderId="4" xfId="2" applyFont="1" applyBorder="1" applyAlignment="1">
      <alignment horizontal="center" vertical="center"/>
    </xf>
    <xf numFmtId="0" fontId="6" fillId="7" borderId="6" xfId="2" applyFont="1" applyBorder="1" applyAlignment="1">
      <alignment horizontal="center" vertical="center"/>
    </xf>
    <xf numFmtId="0" fontId="6" fillId="7" borderId="11" xfId="2" applyFont="1" applyBorder="1" applyAlignment="1">
      <alignment horizontal="center" vertical="center"/>
    </xf>
    <xf numFmtId="0" fontId="6" fillId="7" borderId="4" xfId="3" applyFont="1" applyFill="1" applyBorder="1" applyAlignment="1">
      <alignment horizontal="center" vertical="center"/>
    </xf>
    <xf numFmtId="0" fontId="6" fillId="7" borderId="8" xfId="2" applyFont="1" applyBorder="1" applyAlignment="1">
      <alignment horizontal="center" vertical="center"/>
    </xf>
    <xf numFmtId="0" fontId="6" fillId="7" borderId="12" xfId="2" applyFont="1" applyBorder="1" applyAlignment="1">
      <alignment horizontal="center" vertical="center"/>
    </xf>
    <xf numFmtId="0" fontId="6" fillId="7" borderId="9" xfId="2" applyFont="1" applyBorder="1" applyAlignment="1">
      <alignment horizontal="center" vertical="center"/>
    </xf>
    <xf numFmtId="0" fontId="4" fillId="6" borderId="4" xfId="1" applyFont="1" applyBorder="1" applyAlignment="1">
      <alignment horizontal="center" vertical="center"/>
    </xf>
    <xf numFmtId="0" fontId="4" fillId="6" borderId="6" xfId="1" applyFont="1" applyBorder="1" applyAlignment="1">
      <alignment horizontal="center" vertical="center"/>
    </xf>
    <xf numFmtId="0" fontId="6" fillId="7" borderId="3" xfId="2" applyNumberFormat="1" applyFont="1" applyBorder="1" applyAlignment="1">
      <alignment horizontal="center" vertical="center"/>
    </xf>
    <xf numFmtId="0" fontId="6" fillId="7" borderId="7" xfId="2" applyNumberFormat="1" applyFont="1" applyBorder="1" applyAlignment="1">
      <alignment horizontal="center" vertical="center"/>
    </xf>
    <xf numFmtId="0" fontId="6" fillId="7" borderId="4" xfId="2" applyNumberFormat="1" applyFont="1" applyBorder="1" applyAlignment="1">
      <alignment horizontal="center" vertical="center"/>
    </xf>
    <xf numFmtId="0" fontId="4" fillId="6" borderId="11" xfId="1" applyFont="1" applyBorder="1" applyAlignment="1">
      <alignment horizontal="center" vertical="center"/>
    </xf>
    <xf numFmtId="0" fontId="6" fillId="7" borderId="11" xfId="2" applyNumberFormat="1" applyFont="1" applyBorder="1" applyAlignment="1">
      <alignment horizontal="center" vertical="center"/>
    </xf>
    <xf numFmtId="0" fontId="6" fillId="7" borderId="2" xfId="3" applyNumberFormat="1" applyFont="1" applyFill="1" applyBorder="1" applyAlignment="1">
      <alignment horizontal="center" vertical="center"/>
    </xf>
    <xf numFmtId="0" fontId="6" fillId="7" borderId="13" xfId="3" applyNumberFormat="1" applyFont="1" applyFill="1" applyBorder="1" applyAlignment="1">
      <alignment horizontal="center" vertical="center"/>
    </xf>
    <xf numFmtId="0" fontId="6" fillId="7" borderId="2" xfId="3" applyFont="1" applyFill="1" applyBorder="1" applyAlignment="1">
      <alignment horizontal="center" vertical="center"/>
    </xf>
    <xf numFmtId="0" fontId="6" fillId="7" borderId="13" xfId="2" applyFont="1" applyBorder="1" applyAlignment="1">
      <alignment horizontal="center" vertical="center"/>
    </xf>
    <xf numFmtId="0" fontId="4" fillId="8" borderId="4" xfId="1" applyFont="1" applyFill="1" applyBorder="1" applyAlignment="1">
      <alignment horizontal="center" vertical="center"/>
    </xf>
    <xf numFmtId="0" fontId="4" fillId="8" borderId="10" xfId="1" applyFont="1" applyFill="1" applyBorder="1" applyAlignment="1">
      <alignment horizontal="center" vertical="center"/>
    </xf>
    <xf numFmtId="0" fontId="4" fillId="8" borderId="5" xfId="1" applyFont="1" applyFill="1" applyBorder="1" applyAlignment="1">
      <alignment horizontal="center" vertical="center"/>
    </xf>
    <xf numFmtId="0" fontId="4" fillId="8" borderId="6" xfId="1" applyFont="1" applyFill="1" applyBorder="1" applyAlignment="1">
      <alignment horizontal="center" vertical="center"/>
    </xf>
    <xf numFmtId="0" fontId="3" fillId="7" borderId="4" xfId="3" applyNumberFormat="1" applyFill="1" applyBorder="1" applyAlignment="1">
      <alignment horizontal="center" vertical="center"/>
    </xf>
  </cellXfs>
  <cellStyles count="4">
    <cellStyle name="60% - Ênfase2" xfId="2" builtinId="36"/>
    <cellStyle name="Ênfase2" xfId="1" builtinId="33"/>
    <cellStyle name="Hiperlink" xfId="3" builtinId="8"/>
    <cellStyle name="Normal" xfId="0" builtinId="0"/>
  </cellStyles>
  <dxfs count="7">
    <dxf>
      <font>
        <b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9751CB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Arial"/>
        <family val="2"/>
        <scheme val="none"/>
      </font>
      <fill>
        <patternFill patternType="solid">
          <fgColor indexed="64"/>
          <bgColor rgb="FF9751CB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751CB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I1:M2" totalsRowShown="0" headerRowDxfId="6" dataDxfId="5">
  <autoFilter ref="I1:M2" xr:uid="{00000000-0009-0000-0100-000001000000}">
    <filterColumn colId="0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USUÁRIOS " dataDxfId="4">
      <calculatedColumnFormula>COUNTIF($C:$C,C2)</calculatedColumnFormula>
    </tableColumn>
    <tableColumn id="5" xr3:uid="{00000000-0010-0000-0000-000005000000}" name=" WINDOWS EM OPERAÇÃO" dataDxfId="3">
      <calculatedColumnFormula>COUNTIF($E2:$E54,E54)</calculatedColumnFormula>
    </tableColumn>
    <tableColumn id="2" xr3:uid="{00000000-0010-0000-0000-000002000000}" name=" WINDOWS DISPONÍVEIS" dataDxfId="2">
      <calculatedColumnFormula>COUNTIF($E2:$E54,Q14)</calculatedColumnFormula>
    </tableColumn>
    <tableColumn id="4" xr3:uid="{00000000-0010-0000-0000-000004000000}" name="OFFICE EM OPERAÇÃO" dataDxfId="1">
      <calculatedColumnFormula>COUNTIF($H$2:$H$54,H3)</calculatedColumnFormula>
    </tableColumn>
    <tableColumn id="3" xr3:uid="{00000000-0010-0000-0000-000003000000}" name="OFFICE DISPONÍVEIS" dataDxfId="0">
      <calculatedColumnFormula>COUNTIF($H:$H,Q13)</calculatedColumnFormula>
    </tableColumn>
  </tableColumns>
  <tableStyleInfo name="TableStyleDark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krd@krd2022" TargetMode="External"/><Relationship Id="rId18" Type="http://schemas.openxmlformats.org/officeDocument/2006/relationships/hyperlink" Target="mailto:krd@krd2022" TargetMode="External"/><Relationship Id="rId26" Type="http://schemas.openxmlformats.org/officeDocument/2006/relationships/hyperlink" Target="mailto:KathleenD@VITALMEDBR.onmicrosoft.com" TargetMode="External"/><Relationship Id="rId21" Type="http://schemas.openxmlformats.org/officeDocument/2006/relationships/hyperlink" Target="mailto:naiane@VITALMEDBR.onmicrosoft.com" TargetMode="External"/><Relationship Id="rId34" Type="http://schemas.openxmlformats.org/officeDocument/2006/relationships/hyperlink" Target="mailto:krd@krd2022" TargetMode="External"/><Relationship Id="rId7" Type="http://schemas.openxmlformats.org/officeDocument/2006/relationships/hyperlink" Target="mailto:krd@krd2022" TargetMode="External"/><Relationship Id="rId12" Type="http://schemas.openxmlformats.org/officeDocument/2006/relationships/hyperlink" Target="mailto:krd@krd2022" TargetMode="External"/><Relationship Id="rId17" Type="http://schemas.openxmlformats.org/officeDocument/2006/relationships/hyperlink" Target="mailto:gloriam@VITALMEDBR.onmicrosoft.com" TargetMode="External"/><Relationship Id="rId25" Type="http://schemas.openxmlformats.org/officeDocument/2006/relationships/hyperlink" Target="mailto:EvelynS@VITALMEDBR.onmicrosoft.com" TargetMode="External"/><Relationship Id="rId33" Type="http://schemas.openxmlformats.org/officeDocument/2006/relationships/hyperlink" Target="mailto:CristianeAparecida@VITALMEDBR.onmicrosoft.com" TargetMode="External"/><Relationship Id="rId38" Type="http://schemas.openxmlformats.org/officeDocument/2006/relationships/table" Target="../tables/table1.xml"/><Relationship Id="rId2" Type="http://schemas.openxmlformats.org/officeDocument/2006/relationships/hyperlink" Target="mailto:eberson@VITALMEDBR.onmicrosoft.com" TargetMode="External"/><Relationship Id="rId16" Type="http://schemas.openxmlformats.org/officeDocument/2006/relationships/hyperlink" Target="mailto:soyane@VITALMEDBR.onmicrosoft.com" TargetMode="External"/><Relationship Id="rId20" Type="http://schemas.openxmlformats.org/officeDocument/2006/relationships/hyperlink" Target="mailto:krd@krd2022" TargetMode="External"/><Relationship Id="rId29" Type="http://schemas.openxmlformats.org/officeDocument/2006/relationships/hyperlink" Target="mailto:Krd@krd2022" TargetMode="External"/><Relationship Id="rId1" Type="http://schemas.openxmlformats.org/officeDocument/2006/relationships/hyperlink" Target="mailto:krd@krd2022" TargetMode="External"/><Relationship Id="rId6" Type="http://schemas.openxmlformats.org/officeDocument/2006/relationships/hyperlink" Target="mailto:krd@krd2022" TargetMode="External"/><Relationship Id="rId11" Type="http://schemas.openxmlformats.org/officeDocument/2006/relationships/hyperlink" Target="mailto:francinetavares@VITALMEDBR.onmicrosoft.com" TargetMode="External"/><Relationship Id="rId24" Type="http://schemas.openxmlformats.org/officeDocument/2006/relationships/hyperlink" Target="mailto:krd@krd2024" TargetMode="External"/><Relationship Id="rId32" Type="http://schemas.openxmlformats.org/officeDocument/2006/relationships/hyperlink" Target="mailto:Krd@krd2022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mailto:felipen@VITALMEDBR.onmicrosoft.com" TargetMode="External"/><Relationship Id="rId15" Type="http://schemas.openxmlformats.org/officeDocument/2006/relationships/hyperlink" Target="mailto:jackelines@VITALMEDBR.onmicrosoft.com" TargetMode="External"/><Relationship Id="rId23" Type="http://schemas.openxmlformats.org/officeDocument/2006/relationships/hyperlink" Target="mailto:viniciusr@VITALMEDBR.onmicrosoft.com" TargetMode="External"/><Relationship Id="rId28" Type="http://schemas.openxmlformats.org/officeDocument/2006/relationships/hyperlink" Target="mailto:Krd@krd2022" TargetMode="External"/><Relationship Id="rId36" Type="http://schemas.openxmlformats.org/officeDocument/2006/relationships/hyperlink" Target="mailto:CarolinaH@VITALMEDBR.onmicrosoft.com" TargetMode="External"/><Relationship Id="rId10" Type="http://schemas.openxmlformats.org/officeDocument/2006/relationships/hyperlink" Target="mailto:thaphynnycarvalho@VITALMEDBR.onmicrosoft.com" TargetMode="External"/><Relationship Id="rId19" Type="http://schemas.openxmlformats.org/officeDocument/2006/relationships/hyperlink" Target="mailto:carlosr@VITALMEDBR.onmicrosoft.com" TargetMode="External"/><Relationship Id="rId31" Type="http://schemas.openxmlformats.org/officeDocument/2006/relationships/hyperlink" Target="mailto:SilmaraA@VITALMEDBR.onmicrosoft.com" TargetMode="External"/><Relationship Id="rId4" Type="http://schemas.openxmlformats.org/officeDocument/2006/relationships/hyperlink" Target="mailto:wesleyd@VITALMEDBR.onmicrosoft.com" TargetMode="External"/><Relationship Id="rId9" Type="http://schemas.openxmlformats.org/officeDocument/2006/relationships/hyperlink" Target="mailto:krd@krd2022" TargetMode="External"/><Relationship Id="rId14" Type="http://schemas.openxmlformats.org/officeDocument/2006/relationships/hyperlink" Target="mailto:ericamartins@VITALMEDBR.onmicrosoft.com" TargetMode="External"/><Relationship Id="rId22" Type="http://schemas.openxmlformats.org/officeDocument/2006/relationships/hyperlink" Target="mailto:krd@krd2022" TargetMode="External"/><Relationship Id="rId27" Type="http://schemas.openxmlformats.org/officeDocument/2006/relationships/hyperlink" Target="mailto:SolangeF@VITALMEDBR.onmicrosoft.com" TargetMode="External"/><Relationship Id="rId30" Type="http://schemas.openxmlformats.org/officeDocument/2006/relationships/hyperlink" Target="mailto:Krd@krd2022" TargetMode="External"/><Relationship Id="rId35" Type="http://schemas.openxmlformats.org/officeDocument/2006/relationships/hyperlink" Target="mailto:krd@krd2022" TargetMode="External"/><Relationship Id="rId8" Type="http://schemas.openxmlformats.org/officeDocument/2006/relationships/hyperlink" Target="mailto:krd@krd2022" TargetMode="External"/><Relationship Id="rId3" Type="http://schemas.openxmlformats.org/officeDocument/2006/relationships/hyperlink" Target="mailto:krd@20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Q62"/>
  <sheetViews>
    <sheetView tabSelected="1" zoomScale="85" zoomScaleNormal="85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I12" sqref="I12:K12"/>
    </sheetView>
  </sheetViews>
  <sheetFormatPr defaultColWidth="0" defaultRowHeight="20.25" zeroHeight="1" x14ac:dyDescent="0.3"/>
  <cols>
    <col min="1" max="1" width="43.7109375" style="6" bestFit="1" customWidth="1"/>
    <col min="2" max="2" width="38.42578125" style="6" customWidth="1"/>
    <col min="3" max="3" width="4.85546875" style="6" hidden="1" customWidth="1"/>
    <col min="4" max="4" width="31.5703125" style="7" bestFit="1" customWidth="1"/>
    <col min="5" max="5" width="4.85546875" style="36" hidden="1" customWidth="1"/>
    <col min="6" max="6" width="41.140625" style="7" customWidth="1"/>
    <col min="7" max="7" width="29" style="7" hidden="1" customWidth="1"/>
    <col min="8" max="8" width="25.5703125" style="7" hidden="1" customWidth="1"/>
    <col min="9" max="10" width="46.140625" style="7" customWidth="1"/>
    <col min="11" max="11" width="37.42578125" style="7" bestFit="1" customWidth="1"/>
    <col min="12" max="12" width="36.28515625" style="7" bestFit="1" customWidth="1"/>
    <col min="13" max="13" width="48.5703125" style="7" bestFit="1" customWidth="1"/>
    <col min="14" max="15" width="12.140625" style="7" hidden="1" customWidth="1"/>
    <col min="16" max="16" width="21.7109375" style="7" hidden="1" customWidth="1"/>
    <col min="17" max="17" width="13.85546875" style="7" hidden="1" customWidth="1"/>
    <col min="18" max="16384" width="10" style="7" hidden="1"/>
  </cols>
  <sheetData>
    <row r="1" spans="1:17" ht="21" thickBot="1" x14ac:dyDescent="0.35">
      <c r="A1" s="3" t="s">
        <v>24</v>
      </c>
      <c r="B1" s="3" t="s">
        <v>36</v>
      </c>
      <c r="C1" s="3"/>
      <c r="D1" s="2" t="s">
        <v>0</v>
      </c>
      <c r="E1" s="3"/>
      <c r="F1" s="2" t="s">
        <v>1</v>
      </c>
      <c r="G1" s="1" t="s">
        <v>2</v>
      </c>
      <c r="H1" s="2" t="s">
        <v>3</v>
      </c>
      <c r="I1" s="4" t="s">
        <v>24</v>
      </c>
      <c r="J1" s="4" t="s">
        <v>111</v>
      </c>
      <c r="K1" s="4" t="s">
        <v>112</v>
      </c>
      <c r="L1" s="4" t="s">
        <v>113</v>
      </c>
      <c r="M1" s="4" t="s">
        <v>114</v>
      </c>
      <c r="P1" s="8"/>
      <c r="Q1" s="7">
        <f>corama</f>
        <v>0</v>
      </c>
    </row>
    <row r="2" spans="1:17" ht="21" thickBot="1" x14ac:dyDescent="0.35">
      <c r="A2" s="9" t="s">
        <v>12</v>
      </c>
      <c r="B2" s="5" t="s">
        <v>51</v>
      </c>
      <c r="C2" s="10">
        <f>colorido</f>
        <v>48</v>
      </c>
      <c r="D2" s="11" t="s">
        <v>9</v>
      </c>
      <c r="E2" s="12">
        <f>colorido</f>
        <v>33</v>
      </c>
      <c r="F2" s="13" t="s">
        <v>25</v>
      </c>
      <c r="G2" s="14">
        <v>1</v>
      </c>
      <c r="H2" s="15">
        <f>corama</f>
        <v>22</v>
      </c>
      <c r="I2" s="9">
        <f>COUNTIF($C:$C,C2)</f>
        <v>53</v>
      </c>
      <c r="J2" s="16">
        <f>COUNTIF($E2:$E54,E54)</f>
        <v>52</v>
      </c>
      <c r="K2" s="17">
        <f>COUNTIF($E2:$E54,Q14)</f>
        <v>1</v>
      </c>
      <c r="L2" s="18">
        <f>COUNTIF($H$2:$H$54,H3)</f>
        <v>51</v>
      </c>
      <c r="M2" s="19">
        <f>COUNTIF($H:$H,Q13)</f>
        <v>0</v>
      </c>
    </row>
    <row r="3" spans="1:17" ht="21" thickBot="1" x14ac:dyDescent="0.35">
      <c r="A3" s="9" t="s">
        <v>37</v>
      </c>
      <c r="B3" s="5" t="s">
        <v>97</v>
      </c>
      <c r="C3" s="10">
        <f>colorido</f>
        <v>48</v>
      </c>
      <c r="D3" s="11" t="s">
        <v>9</v>
      </c>
      <c r="E3" s="12">
        <f>colorido</f>
        <v>33</v>
      </c>
      <c r="F3" s="20" t="s">
        <v>96</v>
      </c>
      <c r="G3" s="11">
        <v>1</v>
      </c>
      <c r="H3" s="15">
        <f>corama</f>
        <v>6</v>
      </c>
      <c r="I3" s="64" t="s">
        <v>17</v>
      </c>
      <c r="J3" s="65"/>
      <c r="K3" s="66"/>
      <c r="L3" s="66"/>
      <c r="M3" s="67"/>
    </row>
    <row r="4" spans="1:17" ht="21" thickBot="1" x14ac:dyDescent="0.35">
      <c r="A4" s="9" t="s">
        <v>148</v>
      </c>
      <c r="B4" s="5" t="s">
        <v>131</v>
      </c>
      <c r="C4" s="10">
        <f>colorido</f>
        <v>48</v>
      </c>
      <c r="D4" s="11" t="s">
        <v>9</v>
      </c>
      <c r="E4" s="12">
        <f>colorido</f>
        <v>33</v>
      </c>
      <c r="F4" s="20" t="s">
        <v>16</v>
      </c>
      <c r="G4" s="11">
        <v>1</v>
      </c>
      <c r="H4" s="15">
        <f>corama</f>
        <v>6</v>
      </c>
      <c r="I4" s="53" t="s">
        <v>18</v>
      </c>
      <c r="J4" s="58"/>
      <c r="K4" s="54"/>
      <c r="L4" s="53" t="s">
        <v>19</v>
      </c>
      <c r="M4" s="54"/>
    </row>
    <row r="5" spans="1:17" ht="21" thickBot="1" x14ac:dyDescent="0.35">
      <c r="A5" s="9" t="s">
        <v>49</v>
      </c>
      <c r="B5" s="5" t="s">
        <v>38</v>
      </c>
      <c r="C5" s="10">
        <f>colorido</f>
        <v>48</v>
      </c>
      <c r="D5" s="11" t="s">
        <v>5</v>
      </c>
      <c r="E5" s="12">
        <f>colorido</f>
        <v>33</v>
      </c>
      <c r="F5" s="20" t="s">
        <v>96</v>
      </c>
      <c r="G5" s="11">
        <v>1</v>
      </c>
      <c r="H5" s="15">
        <f>corama</f>
        <v>6</v>
      </c>
      <c r="I5" s="43" t="s">
        <v>32</v>
      </c>
      <c r="J5" s="44"/>
      <c r="K5" s="45"/>
      <c r="L5" s="43" t="s">
        <v>21</v>
      </c>
      <c r="M5" s="45"/>
      <c r="O5" s="21"/>
    </row>
    <row r="6" spans="1:17" ht="21" thickBot="1" x14ac:dyDescent="0.35">
      <c r="A6" s="9" t="s">
        <v>50</v>
      </c>
      <c r="B6" s="5" t="s">
        <v>63</v>
      </c>
      <c r="C6" s="10">
        <f>colorido</f>
        <v>48</v>
      </c>
      <c r="D6" s="11" t="s">
        <v>5</v>
      </c>
      <c r="E6" s="12">
        <f>colorido</f>
        <v>33</v>
      </c>
      <c r="F6" s="20" t="s">
        <v>96</v>
      </c>
      <c r="G6" s="11">
        <v>1</v>
      </c>
      <c r="H6" s="15">
        <f>corama</f>
        <v>6</v>
      </c>
      <c r="I6" s="43" t="s">
        <v>34</v>
      </c>
      <c r="J6" s="44"/>
      <c r="K6" s="45"/>
      <c r="L6" s="55" t="s">
        <v>23</v>
      </c>
      <c r="M6" s="56"/>
      <c r="O6" s="22"/>
      <c r="P6" s="23"/>
      <c r="Q6" s="7" cm="1">
        <f t="array" ref="Q6">colorido</f>
        <v>53</v>
      </c>
    </row>
    <row r="7" spans="1:17" ht="21" thickBot="1" x14ac:dyDescent="0.35">
      <c r="A7" s="9" t="s">
        <v>149</v>
      </c>
      <c r="B7" s="5" t="s">
        <v>57</v>
      </c>
      <c r="C7" s="10">
        <f>colorido</f>
        <v>48</v>
      </c>
      <c r="D7" s="11" t="s">
        <v>5</v>
      </c>
      <c r="E7" s="12">
        <f>colorido</f>
        <v>33</v>
      </c>
      <c r="F7" s="20" t="s">
        <v>16</v>
      </c>
      <c r="G7" s="11">
        <v>1</v>
      </c>
      <c r="H7" s="15">
        <f>corama</f>
        <v>6</v>
      </c>
      <c r="I7" s="43" t="s">
        <v>20</v>
      </c>
      <c r="J7" s="44"/>
      <c r="K7" s="45"/>
      <c r="L7" s="57" t="s">
        <v>22</v>
      </c>
      <c r="M7" s="45"/>
      <c r="O7" s="22"/>
      <c r="P7" s="24"/>
      <c r="Q7" s="7" cm="1">
        <f t="array" ref="Q7">colorido</f>
        <v>6</v>
      </c>
    </row>
    <row r="8" spans="1:17" ht="21" thickBot="1" x14ac:dyDescent="0.35">
      <c r="A8" s="9" t="s">
        <v>92</v>
      </c>
      <c r="B8" s="5" t="s">
        <v>39</v>
      </c>
      <c r="C8" s="10">
        <f>colorido</f>
        <v>48</v>
      </c>
      <c r="D8" s="11" t="s">
        <v>9</v>
      </c>
      <c r="E8" s="12">
        <f>colorido</f>
        <v>33</v>
      </c>
      <c r="F8" s="20" t="s">
        <v>96</v>
      </c>
      <c r="G8" s="11">
        <v>1</v>
      </c>
      <c r="H8" s="15">
        <f>corama</f>
        <v>6</v>
      </c>
      <c r="I8" s="43" t="s">
        <v>33</v>
      </c>
      <c r="J8" s="44"/>
      <c r="K8" s="45"/>
      <c r="L8" s="43" t="s">
        <v>21</v>
      </c>
      <c r="M8" s="45"/>
      <c r="O8" s="21"/>
      <c r="P8" s="25"/>
      <c r="Q8" s="7" cm="1">
        <f t="array" ref="Q8">colorido</f>
        <v>33</v>
      </c>
    </row>
    <row r="9" spans="1:17" ht="21" thickBot="1" x14ac:dyDescent="0.35">
      <c r="A9" s="9" t="s">
        <v>91</v>
      </c>
      <c r="B9" s="5" t="s">
        <v>99</v>
      </c>
      <c r="C9" s="10">
        <f>colorido</f>
        <v>48</v>
      </c>
      <c r="D9" s="11" t="s">
        <v>9</v>
      </c>
      <c r="E9" s="12">
        <f>colorido</f>
        <v>33</v>
      </c>
      <c r="F9" s="20" t="s">
        <v>96</v>
      </c>
      <c r="G9" s="11">
        <v>1</v>
      </c>
      <c r="H9" s="15">
        <f>corama</f>
        <v>6</v>
      </c>
      <c r="I9" s="43" t="s">
        <v>27</v>
      </c>
      <c r="J9" s="59"/>
      <c r="K9" s="45"/>
      <c r="L9" s="43" t="s">
        <v>21</v>
      </c>
      <c r="M9" s="45"/>
      <c r="P9" s="26"/>
      <c r="Q9" s="7" cm="1">
        <f t="array" ref="Q9">colorido</f>
        <v>49</v>
      </c>
    </row>
    <row r="10" spans="1:17" ht="21" thickBot="1" x14ac:dyDescent="0.35">
      <c r="A10" s="9" t="s">
        <v>120</v>
      </c>
      <c r="B10" s="5" t="s">
        <v>121</v>
      </c>
      <c r="C10" s="10">
        <f>colorido</f>
        <v>48</v>
      </c>
      <c r="D10" s="11" t="s">
        <v>122</v>
      </c>
      <c r="E10" s="12">
        <f>colorido</f>
        <v>33</v>
      </c>
      <c r="F10" s="20" t="s">
        <v>96</v>
      </c>
      <c r="G10" s="11"/>
      <c r="H10" s="15">
        <f>corama</f>
        <v>6</v>
      </c>
      <c r="I10" s="60" t="s">
        <v>126</v>
      </c>
      <c r="J10" s="44"/>
      <c r="K10" s="61"/>
      <c r="L10" s="60" t="s">
        <v>21</v>
      </c>
      <c r="M10" s="61"/>
      <c r="P10" s="26"/>
    </row>
    <row r="11" spans="1:17" ht="21" thickBot="1" x14ac:dyDescent="0.35">
      <c r="A11" s="9" t="s">
        <v>124</v>
      </c>
      <c r="B11" s="5" t="s">
        <v>98</v>
      </c>
      <c r="C11" s="10">
        <f>colorido</f>
        <v>48</v>
      </c>
      <c r="D11" s="11" t="s">
        <v>9</v>
      </c>
      <c r="E11" s="12">
        <f>colorido</f>
        <v>33</v>
      </c>
      <c r="F11" s="20" t="s">
        <v>16</v>
      </c>
      <c r="G11" s="11">
        <v>1</v>
      </c>
      <c r="H11" s="15">
        <f>corama</f>
        <v>6</v>
      </c>
      <c r="I11" s="43" t="s">
        <v>28</v>
      </c>
      <c r="J11" s="59"/>
      <c r="K11" s="45"/>
      <c r="L11" s="43" t="s">
        <v>21</v>
      </c>
      <c r="M11" s="45"/>
      <c r="P11" s="8"/>
      <c r="Q11" s="7" cm="1">
        <f t="array" ref="Q11">colorido</f>
        <v>55</v>
      </c>
    </row>
    <row r="12" spans="1:17" ht="21" thickBot="1" x14ac:dyDescent="0.35">
      <c r="A12" s="9" t="s">
        <v>147</v>
      </c>
      <c r="B12" s="5" t="s">
        <v>132</v>
      </c>
      <c r="C12" s="10">
        <f>colorido</f>
        <v>48</v>
      </c>
      <c r="D12" s="11" t="s">
        <v>9</v>
      </c>
      <c r="E12" s="12">
        <f>colorido</f>
        <v>33</v>
      </c>
      <c r="F12" s="20" t="s">
        <v>16</v>
      </c>
      <c r="G12" s="11">
        <v>1</v>
      </c>
      <c r="H12" s="15">
        <f>corama</f>
        <v>6</v>
      </c>
      <c r="I12" s="68" t="s">
        <v>159</v>
      </c>
      <c r="J12" s="59"/>
      <c r="K12" s="45"/>
      <c r="L12" s="43" t="s">
        <v>31</v>
      </c>
      <c r="M12" s="45"/>
      <c r="P12" s="27"/>
      <c r="Q12" s="7" cm="1">
        <f t="array" ref="Q12">colorido</f>
        <v>22</v>
      </c>
    </row>
    <row r="13" spans="1:17" ht="21" thickBot="1" x14ac:dyDescent="0.35">
      <c r="A13" s="9" t="s">
        <v>123</v>
      </c>
      <c r="B13" s="5" t="s">
        <v>123</v>
      </c>
      <c r="C13" s="10">
        <f>colorido</f>
        <v>48</v>
      </c>
      <c r="D13" s="11" t="s">
        <v>9</v>
      </c>
      <c r="E13" s="12">
        <f>colorido</f>
        <v>33</v>
      </c>
      <c r="F13" s="20" t="s">
        <v>16</v>
      </c>
      <c r="G13" s="11">
        <v>1</v>
      </c>
      <c r="H13" s="15">
        <f>corama</f>
        <v>6</v>
      </c>
      <c r="I13" s="57" t="s">
        <v>29</v>
      </c>
      <c r="J13" s="59"/>
      <c r="K13" s="45"/>
      <c r="L13" s="43" t="s">
        <v>30</v>
      </c>
      <c r="M13" s="45"/>
      <c r="P13" s="28"/>
      <c r="Q13" s="7" cm="1">
        <f t="array" ref="Q13">colorido</f>
        <v>43</v>
      </c>
    </row>
    <row r="14" spans="1:17" ht="21" thickBot="1" x14ac:dyDescent="0.35">
      <c r="A14" s="9" t="s">
        <v>14</v>
      </c>
      <c r="B14" s="5" t="s">
        <v>14</v>
      </c>
      <c r="C14" s="10">
        <f>colorido</f>
        <v>48</v>
      </c>
      <c r="D14" s="11" t="s">
        <v>5</v>
      </c>
      <c r="E14" s="12">
        <f>colorido</f>
        <v>33</v>
      </c>
      <c r="F14" s="20" t="s">
        <v>6</v>
      </c>
      <c r="G14" s="11">
        <v>1</v>
      </c>
      <c r="H14" s="15">
        <f>corama</f>
        <v>6</v>
      </c>
      <c r="I14" s="43" t="s">
        <v>35</v>
      </c>
      <c r="J14" s="59"/>
      <c r="K14" s="45"/>
      <c r="L14" s="43" t="s">
        <v>31</v>
      </c>
      <c r="M14" s="45"/>
      <c r="P14" s="29"/>
      <c r="Q14" s="7" cm="1">
        <f t="array" ref="Q14">colorido</f>
        <v>10</v>
      </c>
    </row>
    <row r="15" spans="1:17" ht="21" thickBot="1" x14ac:dyDescent="0.35">
      <c r="A15" s="9" t="s">
        <v>142</v>
      </c>
      <c r="B15" s="5" t="s">
        <v>143</v>
      </c>
      <c r="C15" s="10">
        <f>colorido</f>
        <v>48</v>
      </c>
      <c r="D15" s="11" t="s">
        <v>117</v>
      </c>
      <c r="E15" s="12">
        <f>colorido</f>
        <v>33</v>
      </c>
      <c r="F15" s="20" t="s">
        <v>16</v>
      </c>
      <c r="G15" s="11">
        <v>1</v>
      </c>
      <c r="H15" s="15">
        <f>corama</f>
        <v>6</v>
      </c>
      <c r="I15" s="68" t="s">
        <v>150</v>
      </c>
      <c r="J15" s="59"/>
      <c r="K15" s="45"/>
      <c r="L15" s="43" t="s">
        <v>21</v>
      </c>
      <c r="M15" s="45"/>
    </row>
    <row r="16" spans="1:17" ht="21" thickBot="1" x14ac:dyDescent="0.35">
      <c r="A16" s="9" t="s">
        <v>90</v>
      </c>
      <c r="B16" s="5" t="s">
        <v>105</v>
      </c>
      <c r="C16" s="10">
        <f>colorido</f>
        <v>48</v>
      </c>
      <c r="D16" s="11" t="s">
        <v>9</v>
      </c>
      <c r="E16" s="12">
        <f>colorido</f>
        <v>33</v>
      </c>
      <c r="F16" s="20" t="s">
        <v>96</v>
      </c>
      <c r="G16" s="11">
        <v>1</v>
      </c>
      <c r="H16" s="15">
        <f>corama</f>
        <v>6</v>
      </c>
      <c r="I16" s="43" t="s">
        <v>115</v>
      </c>
      <c r="J16" s="59"/>
      <c r="K16" s="45"/>
      <c r="L16" s="43" t="s">
        <v>21</v>
      </c>
      <c r="M16" s="45"/>
    </row>
    <row r="17" spans="1:13" ht="21" thickBot="1" x14ac:dyDescent="0.35">
      <c r="A17" s="9" t="s">
        <v>89</v>
      </c>
      <c r="B17" s="5" t="s">
        <v>42</v>
      </c>
      <c r="C17" s="10">
        <f>colorido</f>
        <v>48</v>
      </c>
      <c r="D17" s="11" t="s">
        <v>5</v>
      </c>
      <c r="E17" s="12">
        <f>colorido</f>
        <v>33</v>
      </c>
      <c r="F17" s="20" t="s">
        <v>6</v>
      </c>
      <c r="G17" s="11">
        <v>1</v>
      </c>
      <c r="H17" s="15">
        <f>corama</f>
        <v>6</v>
      </c>
      <c r="I17" s="43" t="s">
        <v>127</v>
      </c>
      <c r="J17" s="59"/>
      <c r="K17" s="45"/>
      <c r="L17" s="43" t="s">
        <v>21</v>
      </c>
      <c r="M17" s="45"/>
    </row>
    <row r="18" spans="1:13" ht="21" thickBot="1" x14ac:dyDescent="0.35">
      <c r="A18" s="9" t="s">
        <v>88</v>
      </c>
      <c r="B18" s="5" t="s">
        <v>43</v>
      </c>
      <c r="C18" s="10">
        <f>colorido</f>
        <v>48</v>
      </c>
      <c r="D18" s="11" t="s">
        <v>5</v>
      </c>
      <c r="E18" s="12">
        <f>colorido</f>
        <v>33</v>
      </c>
      <c r="F18" s="20" t="s">
        <v>6</v>
      </c>
      <c r="G18" s="11">
        <v>1</v>
      </c>
      <c r="H18" s="15">
        <f>corama</f>
        <v>6</v>
      </c>
      <c r="I18" s="43" t="s">
        <v>130</v>
      </c>
      <c r="J18" s="59"/>
      <c r="K18" s="45"/>
      <c r="L18" s="43" t="s">
        <v>30</v>
      </c>
      <c r="M18" s="45"/>
    </row>
    <row r="19" spans="1:13" ht="21" thickBot="1" x14ac:dyDescent="0.35">
      <c r="A19" s="9" t="s">
        <v>87</v>
      </c>
      <c r="B19" s="5" t="s">
        <v>139</v>
      </c>
      <c r="C19" s="10">
        <f>colorido</f>
        <v>48</v>
      </c>
      <c r="D19" s="11" t="s">
        <v>117</v>
      </c>
      <c r="E19" s="12">
        <f>colorido</f>
        <v>33</v>
      </c>
      <c r="F19" s="20" t="s">
        <v>96</v>
      </c>
      <c r="G19" s="11">
        <v>1</v>
      </c>
      <c r="H19" s="15">
        <f>corama</f>
        <v>6</v>
      </c>
      <c r="I19" s="43" t="s">
        <v>134</v>
      </c>
      <c r="J19" s="59"/>
      <c r="K19" s="45"/>
      <c r="L19" s="43" t="s">
        <v>137</v>
      </c>
      <c r="M19" s="45"/>
    </row>
    <row r="20" spans="1:13" ht="21" thickBot="1" x14ac:dyDescent="0.35">
      <c r="A20" s="9" t="s">
        <v>86</v>
      </c>
      <c r="B20" s="5" t="s">
        <v>44</v>
      </c>
      <c r="C20" s="10">
        <f>colorido</f>
        <v>48</v>
      </c>
      <c r="D20" s="11" t="s">
        <v>9</v>
      </c>
      <c r="E20" s="12">
        <f>colorido</f>
        <v>33</v>
      </c>
      <c r="F20" s="20" t="s">
        <v>15</v>
      </c>
      <c r="G20" s="11">
        <v>1</v>
      </c>
      <c r="H20" s="15">
        <f>corama</f>
        <v>6</v>
      </c>
      <c r="I20" s="49" t="s">
        <v>135</v>
      </c>
      <c r="J20" s="48"/>
      <c r="K20" s="47"/>
      <c r="L20" s="49" t="s">
        <v>137</v>
      </c>
      <c r="M20" s="47"/>
    </row>
    <row r="21" spans="1:13" ht="21" thickBot="1" x14ac:dyDescent="0.35">
      <c r="A21" s="9" t="s">
        <v>85</v>
      </c>
      <c r="B21" s="5" t="s">
        <v>45</v>
      </c>
      <c r="C21" s="10">
        <f>colorido</f>
        <v>48</v>
      </c>
      <c r="D21" s="11" t="s">
        <v>5</v>
      </c>
      <c r="E21" s="12">
        <f>colorido</f>
        <v>33</v>
      </c>
      <c r="F21" s="20" t="s">
        <v>16</v>
      </c>
      <c r="G21" s="11">
        <v>1</v>
      </c>
      <c r="H21" s="15">
        <f>corama</f>
        <v>6</v>
      </c>
      <c r="I21" s="49" t="s">
        <v>136</v>
      </c>
      <c r="J21" s="48"/>
      <c r="K21" s="47"/>
      <c r="L21" s="49" t="s">
        <v>137</v>
      </c>
      <c r="M21" s="47"/>
    </row>
    <row r="22" spans="1:13" ht="21" thickBot="1" x14ac:dyDescent="0.35">
      <c r="A22" s="9" t="s">
        <v>84</v>
      </c>
      <c r="B22" s="5" t="s">
        <v>41</v>
      </c>
      <c r="C22" s="10">
        <f>colorido</f>
        <v>48</v>
      </c>
      <c r="D22" s="11" t="s">
        <v>9</v>
      </c>
      <c r="E22" s="12">
        <f>colorido</f>
        <v>33</v>
      </c>
      <c r="F22" s="20" t="s">
        <v>16</v>
      </c>
      <c r="G22" s="11">
        <v>1</v>
      </c>
      <c r="H22" s="15">
        <f>corama</f>
        <v>6</v>
      </c>
      <c r="I22" s="49" t="s">
        <v>141</v>
      </c>
      <c r="J22" s="48"/>
      <c r="K22" s="47"/>
      <c r="L22" s="49" t="s">
        <v>137</v>
      </c>
      <c r="M22" s="47"/>
    </row>
    <row r="23" spans="1:13" ht="21" thickBot="1" x14ac:dyDescent="0.35">
      <c r="A23" s="9" t="s">
        <v>93</v>
      </c>
      <c r="B23" s="5" t="s">
        <v>64</v>
      </c>
      <c r="C23" s="10">
        <f>colorido</f>
        <v>48</v>
      </c>
      <c r="D23" s="11" t="s">
        <v>9</v>
      </c>
      <c r="E23" s="12">
        <f>colorido</f>
        <v>33</v>
      </c>
      <c r="F23" s="20" t="s">
        <v>96</v>
      </c>
      <c r="G23" s="11">
        <v>1</v>
      </c>
      <c r="H23" s="15">
        <f>corama</f>
        <v>6</v>
      </c>
      <c r="I23" s="49" t="s">
        <v>144</v>
      </c>
      <c r="J23" s="48"/>
      <c r="K23" s="47"/>
      <c r="L23" s="46" t="s">
        <v>21</v>
      </c>
      <c r="M23" s="47"/>
    </row>
    <row r="24" spans="1:13" ht="21" thickBot="1" x14ac:dyDescent="0.35">
      <c r="A24" s="9" t="s">
        <v>83</v>
      </c>
      <c r="B24" s="5" t="s">
        <v>103</v>
      </c>
      <c r="C24" s="10">
        <f>colorido</f>
        <v>48</v>
      </c>
      <c r="D24" s="11" t="s">
        <v>9</v>
      </c>
      <c r="E24" s="12">
        <f>colorido</f>
        <v>33</v>
      </c>
      <c r="F24" s="20" t="s">
        <v>96</v>
      </c>
      <c r="G24" s="11"/>
      <c r="H24" s="15">
        <f>corama</f>
        <v>6</v>
      </c>
      <c r="I24" s="62"/>
      <c r="J24" s="48"/>
      <c r="K24" s="63"/>
      <c r="L24" s="37"/>
      <c r="M24" s="38"/>
    </row>
    <row r="25" spans="1:13" ht="21" thickBot="1" x14ac:dyDescent="0.35">
      <c r="A25" s="9" t="s">
        <v>82</v>
      </c>
      <c r="B25" s="5" t="s">
        <v>46</v>
      </c>
      <c r="C25" s="10">
        <f>colorido</f>
        <v>48</v>
      </c>
      <c r="D25" s="11" t="s">
        <v>5</v>
      </c>
      <c r="E25" s="12">
        <f>colorido</f>
        <v>33</v>
      </c>
      <c r="F25" s="20" t="s">
        <v>96</v>
      </c>
      <c r="G25" s="11">
        <v>1</v>
      </c>
      <c r="H25" s="15">
        <f>corama</f>
        <v>6</v>
      </c>
      <c r="I25" s="46"/>
      <c r="J25" s="48"/>
      <c r="K25" s="47"/>
      <c r="L25" s="46"/>
      <c r="M25" s="47"/>
    </row>
    <row r="26" spans="1:13" ht="21" thickBot="1" x14ac:dyDescent="0.35">
      <c r="A26" s="9" t="s">
        <v>81</v>
      </c>
      <c r="B26" s="5" t="s">
        <v>47</v>
      </c>
      <c r="C26" s="10">
        <f>colorido</f>
        <v>48</v>
      </c>
      <c r="D26" s="11" t="s">
        <v>9</v>
      </c>
      <c r="E26" s="12">
        <f>colorido</f>
        <v>33</v>
      </c>
      <c r="F26" s="20" t="s">
        <v>6</v>
      </c>
      <c r="G26" s="11">
        <v>1</v>
      </c>
      <c r="H26" s="15">
        <f>corama</f>
        <v>6</v>
      </c>
      <c r="I26" s="46"/>
      <c r="J26" s="48"/>
      <c r="K26" s="47"/>
      <c r="L26" s="46"/>
      <c r="M26" s="47"/>
    </row>
    <row r="27" spans="1:13" ht="21" thickBot="1" x14ac:dyDescent="0.35">
      <c r="A27" s="9" t="s">
        <v>118</v>
      </c>
      <c r="B27" s="5" t="s">
        <v>116</v>
      </c>
      <c r="C27" s="10">
        <f>colorido</f>
        <v>48</v>
      </c>
      <c r="D27" s="11" t="s">
        <v>117</v>
      </c>
      <c r="E27" s="12">
        <f>colorido</f>
        <v>33</v>
      </c>
      <c r="F27" s="20" t="s">
        <v>16</v>
      </c>
      <c r="G27" s="11">
        <v>1</v>
      </c>
      <c r="H27" s="15">
        <f>corama</f>
        <v>6</v>
      </c>
      <c r="I27" s="46"/>
      <c r="J27" s="48"/>
      <c r="K27" s="47"/>
      <c r="L27" s="46"/>
      <c r="M27" s="47"/>
    </row>
    <row r="28" spans="1:13" ht="21" thickBot="1" x14ac:dyDescent="0.35">
      <c r="A28" s="9" t="s">
        <v>80</v>
      </c>
      <c r="B28" s="5" t="s">
        <v>48</v>
      </c>
      <c r="C28" s="10">
        <f>colorido</f>
        <v>48</v>
      </c>
      <c r="D28" s="11" t="s">
        <v>9</v>
      </c>
      <c r="E28" s="12">
        <f>colorido</f>
        <v>33</v>
      </c>
      <c r="F28" s="20" t="s">
        <v>15</v>
      </c>
      <c r="G28" s="11">
        <v>1</v>
      </c>
      <c r="H28" s="15">
        <f>corama</f>
        <v>6</v>
      </c>
      <c r="I28" s="46"/>
      <c r="J28" s="48"/>
      <c r="K28" s="47"/>
      <c r="L28" s="46"/>
      <c r="M28" s="47"/>
    </row>
    <row r="29" spans="1:13" ht="21" thickBot="1" x14ac:dyDescent="0.35">
      <c r="A29" s="9" t="s">
        <v>146</v>
      </c>
      <c r="B29" s="5" t="s">
        <v>40</v>
      </c>
      <c r="C29" s="10">
        <f>colorido</f>
        <v>48</v>
      </c>
      <c r="D29" s="11" t="s">
        <v>9</v>
      </c>
      <c r="E29" s="12">
        <f>colorido</f>
        <v>33</v>
      </c>
      <c r="F29" s="20" t="s">
        <v>96</v>
      </c>
      <c r="G29" s="11">
        <v>1</v>
      </c>
      <c r="H29" s="15">
        <f>corama</f>
        <v>6</v>
      </c>
      <c r="I29" s="46"/>
      <c r="J29" s="48"/>
      <c r="K29" s="47"/>
      <c r="L29" s="46"/>
      <c r="M29" s="47"/>
    </row>
    <row r="30" spans="1:13" ht="21" thickBot="1" x14ac:dyDescent="0.35">
      <c r="A30" s="9" t="s">
        <v>79</v>
      </c>
      <c r="B30" s="5" t="s">
        <v>106</v>
      </c>
      <c r="C30" s="10">
        <f>colorido</f>
        <v>48</v>
      </c>
      <c r="D30" s="11" t="s">
        <v>5</v>
      </c>
      <c r="E30" s="12">
        <f>colorido</f>
        <v>33</v>
      </c>
      <c r="F30" s="20" t="s">
        <v>6</v>
      </c>
      <c r="G30" s="11">
        <v>1</v>
      </c>
      <c r="H30" s="15">
        <f>corama</f>
        <v>6</v>
      </c>
      <c r="I30" s="46"/>
      <c r="J30" s="48"/>
      <c r="K30" s="47"/>
      <c r="L30" s="46"/>
      <c r="M30" s="47"/>
    </row>
    <row r="31" spans="1:13" ht="21" thickBot="1" x14ac:dyDescent="0.35">
      <c r="A31" s="9" t="s">
        <v>78</v>
      </c>
      <c r="B31" s="5" t="s">
        <v>58</v>
      </c>
      <c r="C31" s="10">
        <f>colorido</f>
        <v>48</v>
      </c>
      <c r="D31" s="11" t="s">
        <v>9</v>
      </c>
      <c r="E31" s="12">
        <f>colorido</f>
        <v>33</v>
      </c>
      <c r="F31" s="20" t="s">
        <v>96</v>
      </c>
      <c r="G31" s="11">
        <v>1</v>
      </c>
      <c r="H31" s="15">
        <f>corama</f>
        <v>6</v>
      </c>
      <c r="I31" s="46"/>
      <c r="J31" s="48"/>
      <c r="K31" s="47"/>
      <c r="L31" s="46"/>
      <c r="M31" s="47"/>
    </row>
    <row r="32" spans="1:13" ht="21" thickBot="1" x14ac:dyDescent="0.35">
      <c r="A32" s="9" t="s">
        <v>77</v>
      </c>
      <c r="B32" s="5" t="s">
        <v>60</v>
      </c>
      <c r="C32" s="10">
        <f>colorido</f>
        <v>48</v>
      </c>
      <c r="D32" s="11" t="s">
        <v>7</v>
      </c>
      <c r="E32" s="12">
        <f>colorido</f>
        <v>33</v>
      </c>
      <c r="F32" s="20" t="s">
        <v>8</v>
      </c>
      <c r="G32" s="11">
        <v>1</v>
      </c>
      <c r="H32" s="15">
        <f>corama</f>
        <v>6</v>
      </c>
      <c r="I32" s="46"/>
      <c r="J32" s="48"/>
      <c r="K32" s="47"/>
      <c r="L32" s="46"/>
      <c r="M32" s="47"/>
    </row>
    <row r="33" spans="1:13" ht="21" thickBot="1" x14ac:dyDescent="0.35">
      <c r="A33" s="9" t="s">
        <v>76</v>
      </c>
      <c r="B33" s="5" t="s">
        <v>102</v>
      </c>
      <c r="C33" s="10">
        <f>colorido</f>
        <v>48</v>
      </c>
      <c r="D33" s="11" t="s">
        <v>9</v>
      </c>
      <c r="E33" s="12">
        <f>colorido</f>
        <v>33</v>
      </c>
      <c r="F33" s="20" t="s">
        <v>96</v>
      </c>
      <c r="G33" s="11"/>
      <c r="H33" s="15">
        <f>corama</f>
        <v>6</v>
      </c>
      <c r="I33" s="30"/>
      <c r="J33" s="31"/>
      <c r="K33" s="32"/>
      <c r="L33" s="30"/>
      <c r="M33" s="32"/>
    </row>
    <row r="34" spans="1:13" ht="21" thickBot="1" x14ac:dyDescent="0.35">
      <c r="A34" s="9" t="s">
        <v>75</v>
      </c>
      <c r="B34" s="5" t="s">
        <v>101</v>
      </c>
      <c r="C34" s="10">
        <f>colorido</f>
        <v>48</v>
      </c>
      <c r="D34" s="11" t="s">
        <v>5</v>
      </c>
      <c r="E34" s="12">
        <f>colorido</f>
        <v>33</v>
      </c>
      <c r="F34" s="20" t="s">
        <v>96</v>
      </c>
      <c r="G34" s="11"/>
      <c r="H34" s="15">
        <f>corama</f>
        <v>6</v>
      </c>
      <c r="I34" s="30"/>
      <c r="J34" s="31"/>
      <c r="K34" s="32"/>
      <c r="L34" s="30"/>
      <c r="M34" s="32"/>
    </row>
    <row r="35" spans="1:13" ht="21" thickBot="1" x14ac:dyDescent="0.35">
      <c r="A35" s="9" t="s">
        <v>74</v>
      </c>
      <c r="B35" s="5" t="s">
        <v>62</v>
      </c>
      <c r="C35" s="10">
        <f>colorido</f>
        <v>48</v>
      </c>
      <c r="D35" s="11" t="s">
        <v>9</v>
      </c>
      <c r="E35" s="12">
        <f>colorido</f>
        <v>33</v>
      </c>
      <c r="F35" s="20" t="s">
        <v>6</v>
      </c>
      <c r="G35" s="11">
        <v>1</v>
      </c>
      <c r="H35" s="15">
        <f>corama</f>
        <v>6</v>
      </c>
      <c r="I35" s="46"/>
      <c r="J35" s="48"/>
      <c r="K35" s="47"/>
      <c r="L35" s="46"/>
      <c r="M35" s="47"/>
    </row>
    <row r="36" spans="1:13" ht="21" thickBot="1" x14ac:dyDescent="0.35">
      <c r="A36" s="9" t="s">
        <v>73</v>
      </c>
      <c r="B36" s="5" t="s">
        <v>61</v>
      </c>
      <c r="C36" s="10">
        <f>colorido</f>
        <v>48</v>
      </c>
      <c r="D36" s="11" t="s">
        <v>9</v>
      </c>
      <c r="E36" s="12">
        <f>colorido</f>
        <v>33</v>
      </c>
      <c r="F36" s="20" t="s">
        <v>8</v>
      </c>
      <c r="G36" s="11">
        <v>1</v>
      </c>
      <c r="H36" s="15">
        <f>corama</f>
        <v>6</v>
      </c>
      <c r="I36" s="46"/>
      <c r="J36" s="48"/>
      <c r="K36" s="47"/>
      <c r="L36" s="46"/>
      <c r="M36" s="47"/>
    </row>
    <row r="37" spans="1:13" ht="21" thickBot="1" x14ac:dyDescent="0.35">
      <c r="A37" s="17" t="s">
        <v>151</v>
      </c>
      <c r="B37" s="5" t="s">
        <v>94</v>
      </c>
      <c r="C37" s="10">
        <f>colorido</f>
        <v>48</v>
      </c>
      <c r="D37" s="39" t="s">
        <v>95</v>
      </c>
      <c r="E37" s="12">
        <f>colorido</f>
        <v>10</v>
      </c>
      <c r="F37" s="40" t="s">
        <v>16</v>
      </c>
      <c r="G37" s="11">
        <v>1</v>
      </c>
      <c r="H37" s="15">
        <f>corama</f>
        <v>50</v>
      </c>
      <c r="I37" s="46"/>
      <c r="J37" s="48"/>
      <c r="K37" s="47"/>
      <c r="L37" s="46"/>
      <c r="M37" s="47"/>
    </row>
    <row r="38" spans="1:13" ht="21" thickBot="1" x14ac:dyDescent="0.35">
      <c r="A38" s="9" t="s">
        <v>125</v>
      </c>
      <c r="B38" s="5" t="s">
        <v>107</v>
      </c>
      <c r="C38" s="10">
        <f>colorido</f>
        <v>48</v>
      </c>
      <c r="D38" s="11" t="s">
        <v>5</v>
      </c>
      <c r="E38" s="12">
        <f>colorido</f>
        <v>33</v>
      </c>
      <c r="F38" s="20" t="s">
        <v>16</v>
      </c>
      <c r="G38" s="11">
        <v>1</v>
      </c>
      <c r="H38" s="15">
        <f>corama</f>
        <v>6</v>
      </c>
      <c r="I38" s="46"/>
      <c r="J38" s="48"/>
      <c r="K38" s="47"/>
      <c r="L38" s="46"/>
      <c r="M38" s="47"/>
    </row>
    <row r="39" spans="1:13" ht="21" thickBot="1" x14ac:dyDescent="0.35">
      <c r="A39" s="9" t="s">
        <v>72</v>
      </c>
      <c r="B39" s="5" t="s">
        <v>59</v>
      </c>
      <c r="C39" s="10">
        <f>colorido</f>
        <v>48</v>
      </c>
      <c r="D39" s="11" t="s">
        <v>9</v>
      </c>
      <c r="E39" s="12">
        <f>colorido</f>
        <v>33</v>
      </c>
      <c r="F39" s="20" t="s">
        <v>8</v>
      </c>
      <c r="G39" s="11">
        <v>1</v>
      </c>
      <c r="H39" s="15">
        <f>corama</f>
        <v>6</v>
      </c>
      <c r="I39" s="46"/>
      <c r="J39" s="48"/>
      <c r="K39" s="47"/>
      <c r="L39" s="46"/>
      <c r="M39" s="47"/>
    </row>
    <row r="40" spans="1:13" ht="21" thickBot="1" x14ac:dyDescent="0.35">
      <c r="A40" s="9" t="s">
        <v>71</v>
      </c>
      <c r="B40" s="5" t="s">
        <v>108</v>
      </c>
      <c r="C40" s="10">
        <f>colorido</f>
        <v>48</v>
      </c>
      <c r="D40" s="11" t="s">
        <v>5</v>
      </c>
      <c r="E40" s="12">
        <f>colorido</f>
        <v>33</v>
      </c>
      <c r="F40" s="20" t="s">
        <v>6</v>
      </c>
      <c r="G40" s="11"/>
      <c r="H40" s="15">
        <f>corama</f>
        <v>6</v>
      </c>
      <c r="I40" s="30"/>
      <c r="J40" s="31"/>
      <c r="K40" s="32"/>
      <c r="L40" s="30"/>
      <c r="M40" s="32"/>
    </row>
    <row r="41" spans="1:13" ht="21" thickBot="1" x14ac:dyDescent="0.35">
      <c r="A41" s="9" t="s">
        <v>4</v>
      </c>
      <c r="B41" s="5" t="s">
        <v>4</v>
      </c>
      <c r="C41" s="10">
        <f>colorido</f>
        <v>48</v>
      </c>
      <c r="D41" s="11" t="s">
        <v>5</v>
      </c>
      <c r="E41" s="12">
        <f>colorido</f>
        <v>33</v>
      </c>
      <c r="F41" s="20" t="s">
        <v>6</v>
      </c>
      <c r="G41" s="11">
        <v>1</v>
      </c>
      <c r="H41" s="15">
        <f>corama</f>
        <v>6</v>
      </c>
      <c r="I41" s="46"/>
      <c r="J41" s="48"/>
      <c r="K41" s="47"/>
      <c r="L41" s="46"/>
      <c r="M41" s="47"/>
    </row>
    <row r="42" spans="1:13" ht="21" thickBot="1" x14ac:dyDescent="0.35">
      <c r="A42" s="9" t="s">
        <v>26</v>
      </c>
      <c r="B42" s="5" t="s">
        <v>26</v>
      </c>
      <c r="C42" s="10">
        <f>colorido</f>
        <v>48</v>
      </c>
      <c r="D42" s="11" t="s">
        <v>5</v>
      </c>
      <c r="E42" s="12">
        <f>colorido</f>
        <v>33</v>
      </c>
      <c r="F42" s="20" t="s">
        <v>16</v>
      </c>
      <c r="G42" s="11">
        <v>1</v>
      </c>
      <c r="H42" s="15">
        <f>corama</f>
        <v>6</v>
      </c>
      <c r="I42" s="46"/>
      <c r="J42" s="48"/>
      <c r="K42" s="47"/>
      <c r="L42" s="46"/>
      <c r="M42" s="47"/>
    </row>
    <row r="43" spans="1:13" ht="21" thickBot="1" x14ac:dyDescent="0.35">
      <c r="A43" s="9" t="s">
        <v>70</v>
      </c>
      <c r="B43" s="5" t="s">
        <v>110</v>
      </c>
      <c r="C43" s="10">
        <f>colorido</f>
        <v>48</v>
      </c>
      <c r="D43" s="11" t="s">
        <v>5</v>
      </c>
      <c r="E43" s="12">
        <f>colorido</f>
        <v>33</v>
      </c>
      <c r="F43" s="20" t="s">
        <v>96</v>
      </c>
      <c r="G43" s="11">
        <v>1</v>
      </c>
      <c r="H43" s="15">
        <f>corama</f>
        <v>6</v>
      </c>
      <c r="I43" s="46"/>
      <c r="J43" s="48"/>
      <c r="K43" s="47"/>
      <c r="L43" s="46"/>
      <c r="M43" s="47"/>
    </row>
    <row r="44" spans="1:13" ht="21" thickBot="1" x14ac:dyDescent="0.35">
      <c r="A44" s="9" t="s">
        <v>140</v>
      </c>
      <c r="B44" s="5" t="s">
        <v>100</v>
      </c>
      <c r="C44" s="10">
        <f>colorido</f>
        <v>48</v>
      </c>
      <c r="D44" s="11" t="s">
        <v>9</v>
      </c>
      <c r="E44" s="12">
        <f>colorido</f>
        <v>33</v>
      </c>
      <c r="F44" s="20" t="s">
        <v>16</v>
      </c>
      <c r="G44" s="11">
        <v>1</v>
      </c>
      <c r="H44" s="15">
        <f>corama</f>
        <v>6</v>
      </c>
      <c r="I44" s="46"/>
      <c r="J44" s="48"/>
      <c r="K44" s="47"/>
      <c r="L44" s="46"/>
      <c r="M44" s="47"/>
    </row>
    <row r="45" spans="1:13" ht="21" thickBot="1" x14ac:dyDescent="0.35">
      <c r="A45" s="9" t="s">
        <v>138</v>
      </c>
      <c r="B45" s="5" t="s">
        <v>133</v>
      </c>
      <c r="C45" s="10">
        <f>colorido</f>
        <v>48</v>
      </c>
      <c r="D45" s="11" t="s">
        <v>9</v>
      </c>
      <c r="E45" s="12">
        <f>colorido</f>
        <v>33</v>
      </c>
      <c r="F45" s="20" t="s">
        <v>16</v>
      </c>
      <c r="G45" s="11">
        <v>1</v>
      </c>
      <c r="H45" s="15">
        <f>corama</f>
        <v>6</v>
      </c>
      <c r="I45" s="46"/>
      <c r="J45" s="48"/>
      <c r="K45" s="47"/>
      <c r="L45" s="46"/>
      <c r="M45" s="47"/>
    </row>
    <row r="46" spans="1:13" ht="21" thickBot="1" x14ac:dyDescent="0.35">
      <c r="A46" s="9" t="s">
        <v>145</v>
      </c>
      <c r="B46" s="5" t="s">
        <v>104</v>
      </c>
      <c r="C46" s="10">
        <f>colorido</f>
        <v>48</v>
      </c>
      <c r="D46" s="11" t="s">
        <v>9</v>
      </c>
      <c r="E46" s="12">
        <f>colorido</f>
        <v>33</v>
      </c>
      <c r="F46" s="20" t="s">
        <v>96</v>
      </c>
      <c r="G46" s="11"/>
      <c r="H46" s="15">
        <f>corama</f>
        <v>6</v>
      </c>
      <c r="I46" s="30"/>
      <c r="J46" s="31"/>
      <c r="K46" s="32"/>
      <c r="L46" s="30"/>
      <c r="M46" s="32"/>
    </row>
    <row r="47" spans="1:13" ht="21" thickBot="1" x14ac:dyDescent="0.35">
      <c r="A47" s="9" t="s">
        <v>69</v>
      </c>
      <c r="B47" s="5" t="s">
        <v>119</v>
      </c>
      <c r="C47" s="10">
        <f>colorido</f>
        <v>48</v>
      </c>
      <c r="D47" s="11" t="s">
        <v>5</v>
      </c>
      <c r="E47" s="12">
        <f>colorido</f>
        <v>33</v>
      </c>
      <c r="F47" s="20" t="s">
        <v>16</v>
      </c>
      <c r="G47" s="11">
        <v>1</v>
      </c>
      <c r="H47" s="15">
        <f>corama</f>
        <v>6</v>
      </c>
      <c r="I47" s="30"/>
      <c r="J47" s="31"/>
      <c r="K47" s="32"/>
      <c r="L47" s="30"/>
      <c r="M47" s="32"/>
    </row>
    <row r="48" spans="1:13" ht="21" thickBot="1" x14ac:dyDescent="0.35">
      <c r="A48" s="9" t="s">
        <v>68</v>
      </c>
      <c r="B48" s="5" t="s">
        <v>56</v>
      </c>
      <c r="C48" s="10">
        <f>colorido</f>
        <v>48</v>
      </c>
      <c r="D48" s="11" t="s">
        <v>9</v>
      </c>
      <c r="E48" s="12">
        <f>colorido</f>
        <v>33</v>
      </c>
      <c r="F48" s="20" t="s">
        <v>16</v>
      </c>
      <c r="G48" s="11"/>
      <c r="H48" s="15">
        <f>corama</f>
        <v>6</v>
      </c>
      <c r="I48" s="33"/>
      <c r="J48" s="34"/>
      <c r="K48" s="35"/>
      <c r="L48" s="30"/>
      <c r="M48" s="32"/>
    </row>
    <row r="49" spans="1:13" ht="21" thickBot="1" x14ac:dyDescent="0.35">
      <c r="A49" s="9" t="s">
        <v>67</v>
      </c>
      <c r="B49" s="5" t="s">
        <v>55</v>
      </c>
      <c r="C49" s="10">
        <f>colorido</f>
        <v>48</v>
      </c>
      <c r="D49" s="11" t="s">
        <v>5</v>
      </c>
      <c r="E49" s="12">
        <f>colorido</f>
        <v>33</v>
      </c>
      <c r="F49" s="20" t="s">
        <v>8</v>
      </c>
      <c r="G49" s="11"/>
      <c r="H49" s="15">
        <f>corama</f>
        <v>6</v>
      </c>
      <c r="I49" s="33"/>
      <c r="J49" s="34"/>
      <c r="K49" s="35"/>
      <c r="L49" s="30"/>
      <c r="M49" s="32"/>
    </row>
    <row r="50" spans="1:13" ht="21" thickBot="1" x14ac:dyDescent="0.35">
      <c r="A50" s="9" t="s">
        <v>128</v>
      </c>
      <c r="B50" s="5" t="s">
        <v>129</v>
      </c>
      <c r="C50" s="10">
        <f>colorido</f>
        <v>48</v>
      </c>
      <c r="D50" s="11" t="s">
        <v>117</v>
      </c>
      <c r="E50" s="12">
        <f>colorido</f>
        <v>33</v>
      </c>
      <c r="F50" s="20" t="s">
        <v>16</v>
      </c>
      <c r="G50" s="11"/>
      <c r="H50" s="15">
        <f>corama</f>
        <v>6</v>
      </c>
      <c r="I50" s="33"/>
      <c r="J50" s="34"/>
      <c r="K50" s="35"/>
      <c r="L50" s="30"/>
      <c r="M50" s="32"/>
    </row>
    <row r="51" spans="1:13" ht="21" thickBot="1" x14ac:dyDescent="0.35">
      <c r="A51" s="9" t="s">
        <v>13</v>
      </c>
      <c r="B51" s="5" t="s">
        <v>54</v>
      </c>
      <c r="C51" s="10">
        <f>colorido</f>
        <v>48</v>
      </c>
      <c r="D51" s="11" t="s">
        <v>5</v>
      </c>
      <c r="E51" s="12">
        <f>colorido</f>
        <v>33</v>
      </c>
      <c r="F51" s="20" t="s">
        <v>6</v>
      </c>
      <c r="G51" s="11"/>
      <c r="H51" s="15">
        <f>corama</f>
        <v>6</v>
      </c>
      <c r="I51" s="33"/>
      <c r="J51" s="34"/>
      <c r="K51" s="35"/>
      <c r="L51" s="30"/>
      <c r="M51" s="32"/>
    </row>
    <row r="52" spans="1:13" ht="21" thickBot="1" x14ac:dyDescent="0.35">
      <c r="A52" s="9" t="s">
        <v>66</v>
      </c>
      <c r="B52" s="5" t="s">
        <v>109</v>
      </c>
      <c r="C52" s="10">
        <f>colorido</f>
        <v>48</v>
      </c>
      <c r="D52" s="11" t="s">
        <v>5</v>
      </c>
      <c r="E52" s="12">
        <f>colorido</f>
        <v>33</v>
      </c>
      <c r="F52" s="20" t="s">
        <v>16</v>
      </c>
      <c r="G52" s="11">
        <v>1</v>
      </c>
      <c r="H52" s="15">
        <f>corama</f>
        <v>6</v>
      </c>
      <c r="I52" s="33"/>
      <c r="J52" s="34"/>
      <c r="K52" s="35"/>
      <c r="L52" s="30"/>
      <c r="M52" s="32"/>
    </row>
    <row r="53" spans="1:13" ht="21" thickBot="1" x14ac:dyDescent="0.35">
      <c r="A53" s="9" t="s">
        <v>65</v>
      </c>
      <c r="B53" s="5" t="s">
        <v>53</v>
      </c>
      <c r="C53" s="10">
        <f>colorido</f>
        <v>48</v>
      </c>
      <c r="D53" s="11" t="s">
        <v>5</v>
      </c>
      <c r="E53" s="12">
        <f>colorido</f>
        <v>33</v>
      </c>
      <c r="F53" s="20" t="s">
        <v>6</v>
      </c>
      <c r="G53" s="11">
        <v>1</v>
      </c>
      <c r="H53" s="15">
        <f>corama</f>
        <v>6</v>
      </c>
      <c r="I53" s="33"/>
      <c r="J53" s="34"/>
      <c r="K53" s="35"/>
      <c r="L53" s="30"/>
      <c r="M53" s="32"/>
    </row>
    <row r="54" spans="1:13" ht="21" thickBot="1" x14ac:dyDescent="0.35">
      <c r="A54" s="9" t="s">
        <v>10</v>
      </c>
      <c r="B54" s="5" t="s">
        <v>52</v>
      </c>
      <c r="C54" s="10">
        <f>colorido</f>
        <v>48</v>
      </c>
      <c r="D54" s="11" t="s">
        <v>11</v>
      </c>
      <c r="E54" s="12">
        <f>colorido</f>
        <v>33</v>
      </c>
      <c r="F54" s="20" t="s">
        <v>8</v>
      </c>
      <c r="G54" s="11">
        <v>1</v>
      </c>
      <c r="H54" s="15">
        <f>corama</f>
        <v>6</v>
      </c>
      <c r="I54" s="50"/>
      <c r="J54" s="51"/>
      <c r="K54" s="52"/>
      <c r="L54" s="46"/>
      <c r="M54" s="47"/>
    </row>
    <row r="55" spans="1:13" x14ac:dyDescent="0.3">
      <c r="A55" s="6" t="s">
        <v>152</v>
      </c>
      <c r="B55" s="6" t="s">
        <v>157</v>
      </c>
      <c r="D55" s="7" t="s">
        <v>122</v>
      </c>
      <c r="I55" s="7" t="s">
        <v>153</v>
      </c>
      <c r="L55" s="41" t="s">
        <v>21</v>
      </c>
    </row>
    <row r="56" spans="1:13" ht="81" x14ac:dyDescent="0.3">
      <c r="A56" s="6" t="s">
        <v>154</v>
      </c>
      <c r="B56" s="6" t="s">
        <v>158</v>
      </c>
      <c r="D56" s="7" t="s">
        <v>156</v>
      </c>
      <c r="I56" s="42" t="s">
        <v>155</v>
      </c>
      <c r="L56" s="41" t="s">
        <v>21</v>
      </c>
    </row>
    <row r="57" spans="1:13" x14ac:dyDescent="0.3"/>
    <row r="58" spans="1:13" x14ac:dyDescent="0.3"/>
    <row r="59" spans="1:13" x14ac:dyDescent="0.3"/>
    <row r="61" spans="1:13" x14ac:dyDescent="0.3"/>
    <row r="62" spans="1:13" x14ac:dyDescent="0.3"/>
  </sheetData>
  <autoFilter ref="B1:B61" xr:uid="{00000000-0001-0000-0000-000000000000}"/>
  <sortState xmlns:xlrd2="http://schemas.microsoft.com/office/spreadsheetml/2017/richdata2" ref="A3:F54">
    <sortCondition ref="A2:A54"/>
  </sortState>
  <mergeCells count="80">
    <mergeCell ref="I10:K10"/>
    <mergeCell ref="I24:K24"/>
    <mergeCell ref="L10:M10"/>
    <mergeCell ref="I18:K18"/>
    <mergeCell ref="I3:M3"/>
    <mergeCell ref="I13:K13"/>
    <mergeCell ref="I14:K14"/>
    <mergeCell ref="I15:K15"/>
    <mergeCell ref="I16:K16"/>
    <mergeCell ref="I17:K17"/>
    <mergeCell ref="L14:M14"/>
    <mergeCell ref="L15:M15"/>
    <mergeCell ref="L16:M16"/>
    <mergeCell ref="L17:M17"/>
    <mergeCell ref="L18:M18"/>
    <mergeCell ref="I5:K5"/>
    <mergeCell ref="I4:K4"/>
    <mergeCell ref="I12:K12"/>
    <mergeCell ref="I11:K11"/>
    <mergeCell ref="I31:K31"/>
    <mergeCell ref="I19:K19"/>
    <mergeCell ref="I20:K20"/>
    <mergeCell ref="I21:K21"/>
    <mergeCell ref="I22:K22"/>
    <mergeCell ref="I23:K23"/>
    <mergeCell ref="I25:K25"/>
    <mergeCell ref="I26:K26"/>
    <mergeCell ref="I27:K27"/>
    <mergeCell ref="I28:K28"/>
    <mergeCell ref="I29:K29"/>
    <mergeCell ref="I30:K30"/>
    <mergeCell ref="I9:K9"/>
    <mergeCell ref="I44:K44"/>
    <mergeCell ref="I32:K32"/>
    <mergeCell ref="I35:K35"/>
    <mergeCell ref="I36:K36"/>
    <mergeCell ref="I37:K37"/>
    <mergeCell ref="I38:K38"/>
    <mergeCell ref="L31:M31"/>
    <mergeCell ref="I39:K39"/>
    <mergeCell ref="L19:M19"/>
    <mergeCell ref="I54:K54"/>
    <mergeCell ref="L4:M4"/>
    <mergeCell ref="L5:M5"/>
    <mergeCell ref="L6:M6"/>
    <mergeCell ref="L7:M7"/>
    <mergeCell ref="L8:M8"/>
    <mergeCell ref="L9:M9"/>
    <mergeCell ref="L11:M11"/>
    <mergeCell ref="L12:M12"/>
    <mergeCell ref="L13:M13"/>
    <mergeCell ref="I41:K41"/>
    <mergeCell ref="I42:K42"/>
    <mergeCell ref="I43:K43"/>
    <mergeCell ref="L26:M26"/>
    <mergeCell ref="L27:M27"/>
    <mergeCell ref="L28:M28"/>
    <mergeCell ref="L29:M29"/>
    <mergeCell ref="L30:M30"/>
    <mergeCell ref="L20:M20"/>
    <mergeCell ref="L21:M21"/>
    <mergeCell ref="L22:M22"/>
    <mergeCell ref="L23:M23"/>
    <mergeCell ref="L25:M25"/>
    <mergeCell ref="I8:K8"/>
    <mergeCell ref="I7:K7"/>
    <mergeCell ref="I6:K6"/>
    <mergeCell ref="L54:M54"/>
    <mergeCell ref="L35:M35"/>
    <mergeCell ref="L36:M36"/>
    <mergeCell ref="L37:M37"/>
    <mergeCell ref="L38:M38"/>
    <mergeCell ref="L39:M39"/>
    <mergeCell ref="L41:M41"/>
    <mergeCell ref="L42:M42"/>
    <mergeCell ref="L43:M43"/>
    <mergeCell ref="L44:M44"/>
    <mergeCell ref="L45:M45"/>
    <mergeCell ref="I45:K45"/>
    <mergeCell ref="L32:M32"/>
  </mergeCells>
  <phoneticPr fontId="5" type="noConversion"/>
  <hyperlinks>
    <hyperlink ref="L15" r:id="rId1" xr:uid="{84934416-E5C1-4E66-97A6-E9D7556766D9}"/>
    <hyperlink ref="I15" r:id="rId2" xr:uid="{B7897324-79EC-416C-8966-B6FE00FC3FAF}"/>
    <hyperlink ref="L14" r:id="rId3" xr:uid="{49146443-7A9C-46F3-A8E7-3D49311EC0C1}"/>
    <hyperlink ref="I14" r:id="rId4" xr:uid="{82391E1E-9569-407D-B160-2EF50AD8A9A3}"/>
    <hyperlink ref="I8" r:id="rId5" xr:uid="{00000000-0004-0000-0000-000003000000}"/>
    <hyperlink ref="L12" r:id="rId6" display="krd@krd2022" xr:uid="{2AA89CCF-9262-4423-A867-D4ECAE226CA8}"/>
    <hyperlink ref="L13" r:id="rId7" display="krd@krd2022" xr:uid="{66DD46C2-D443-4BC8-B6BA-E540536FAE38}"/>
    <hyperlink ref="L11" r:id="rId8" xr:uid="{00000000-0004-0000-0000-000009000000}"/>
    <hyperlink ref="L9" r:id="rId9" xr:uid="{00000000-0004-0000-0000-000008000000}"/>
    <hyperlink ref="I11" r:id="rId10" xr:uid="{00000000-0004-0000-0000-000007000000}"/>
    <hyperlink ref="I9" r:id="rId11" xr:uid="{00000000-0004-0000-0000-000006000000}"/>
    <hyperlink ref="L5" r:id="rId12" xr:uid="{00000000-0004-0000-0000-000005000000}"/>
    <hyperlink ref="L8" r:id="rId13" xr:uid="{00000000-0004-0000-0000-000004000000}"/>
    <hyperlink ref="I7" r:id="rId14" xr:uid="{00000000-0004-0000-0000-000002000000}"/>
    <hyperlink ref="I6" r:id="rId15" xr:uid="{00000000-0004-0000-0000-000001000000}"/>
    <hyperlink ref="I5" r:id="rId16" xr:uid="{00000000-0004-0000-0000-000000000000}"/>
    <hyperlink ref="I16" r:id="rId17" xr:uid="{8B3E70A4-1998-415A-9122-C5EAE026CDF2}"/>
    <hyperlink ref="L16" r:id="rId18" xr:uid="{5F35BD35-98C2-4372-BA1C-1F56C97C230E}"/>
    <hyperlink ref="I10" r:id="rId19" xr:uid="{A6D36548-D319-4B4A-90D9-E7884E0B5E2D}"/>
    <hyperlink ref="L10" r:id="rId20" xr:uid="{7D01AC1B-A7B8-4AE2-B72B-5B6C2EC80A10}"/>
    <hyperlink ref="I17" r:id="rId21" xr:uid="{04CD0D87-76F7-48B5-89C1-FF752B2CB6CC}"/>
    <hyperlink ref="L17" r:id="rId22" xr:uid="{95A544EC-0819-468C-8D40-04AB2AD6D3A4}"/>
    <hyperlink ref="I18" r:id="rId23" xr:uid="{76538775-BBF7-40AF-A7F7-91C94B584EDF}"/>
    <hyperlink ref="L18" r:id="rId24" xr:uid="{9F85D9C8-7122-412A-8D5C-089542FDEFD2}"/>
    <hyperlink ref="I19" r:id="rId25" xr:uid="{BC26FCDE-9BD1-4939-B3A2-D19D5E6FDE58}"/>
    <hyperlink ref="I20" r:id="rId26" xr:uid="{A3C839C8-436A-4138-8081-8FE7448D69B2}"/>
    <hyperlink ref="I21" r:id="rId27" xr:uid="{C0BACAE9-AF0D-4BAD-9D82-2E338D41B7F5}"/>
    <hyperlink ref="L19" r:id="rId28" xr:uid="{E3582EA2-1147-4B0D-B6DF-71CEA608C7FC}"/>
    <hyperlink ref="L20" r:id="rId29" xr:uid="{51C568D4-5455-4314-B174-687FA3BFCBB0}"/>
    <hyperlink ref="L21" r:id="rId30" xr:uid="{0610BF47-7E18-47D1-AC99-63BF123EBE11}"/>
    <hyperlink ref="I22" r:id="rId31" xr:uid="{F843178E-C7B5-4C26-BEF0-6D73C4E918A4}"/>
    <hyperlink ref="L22" r:id="rId32" xr:uid="{69A0CF87-D86A-4EFC-93E9-36BD338F9A46}"/>
    <hyperlink ref="I23" r:id="rId33" xr:uid="{620493DE-1C65-40E0-A0ED-46B8B06DCA4A}"/>
    <hyperlink ref="L55" r:id="rId34" xr:uid="{538C734B-BC9B-4A98-9EA5-A87048AA3ED8}"/>
    <hyperlink ref="L56" r:id="rId35" xr:uid="{4CB32147-0346-4FF6-9AF9-ACE8BFCDA241}"/>
    <hyperlink ref="I12" r:id="rId36" xr:uid="{72D3B56C-A492-4C2C-9B0F-4538BC9F3C45}"/>
  </hyperlinks>
  <pageMargins left="0.511811024" right="0.511811024" top="0.78740157499999996" bottom="0.78740157499999996" header="0.31496062000000002" footer="0.31496062000000002"/>
  <pageSetup paperSize="9" scale="38" orientation="portrait" r:id="rId37"/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</dc:creator>
  <cp:lastModifiedBy>Caio-PC</cp:lastModifiedBy>
  <cp:lastPrinted>2021-09-15T12:42:39Z</cp:lastPrinted>
  <dcterms:created xsi:type="dcterms:W3CDTF">2020-06-08T11:49:01Z</dcterms:created>
  <dcterms:modified xsi:type="dcterms:W3CDTF">2025-02-26T14:09:53Z</dcterms:modified>
</cp:coreProperties>
</file>